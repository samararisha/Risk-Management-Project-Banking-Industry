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XPRESS\Documents\RISK Management Project\Banking\"/>
    </mc:Choice>
  </mc:AlternateContent>
  <xr:revisionPtr revIDLastSave="0" documentId="13_ncr:1_{ADB61ECD-A2F8-4281-A42B-1A75686FFCF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over Page" sheetId="1" r:id="rId1"/>
    <sheet name="Summary Dashboard" sheetId="2" r:id="rId2"/>
    <sheet name="Checklist" sheetId="3" r:id="rId3"/>
    <sheet name="Open Finding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8" i="2" l="1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D8" i="2"/>
  <c r="H7" i="2"/>
  <c r="G7" i="2"/>
  <c r="F7" i="2"/>
  <c r="E7" i="2"/>
  <c r="D7" i="2"/>
  <c r="G19" i="2" l="1"/>
  <c r="D19" i="2"/>
  <c r="D20" i="2" s="1"/>
  <c r="E19" i="2"/>
  <c r="F19" i="2"/>
  <c r="H19" i="2"/>
</calcChain>
</file>

<file path=xl/sharedStrings.xml><?xml version="1.0" encoding="utf-8"?>
<sst xmlns="http://schemas.openxmlformats.org/spreadsheetml/2006/main" count="493" uniqueCount="297">
  <si>
    <t>PCI DSS v4.0 COMPLIANCE CHECKLIST</t>
  </si>
  <si>
    <t>Nile Crest Bank (NCB)  ·  Cairo, Egypt</t>
  </si>
  <si>
    <t>Organization:</t>
  </si>
  <si>
    <t>Assessment Type:</t>
  </si>
  <si>
    <t>Self-Assessment (SAQ)</t>
  </si>
  <si>
    <t>PCI DSS Version:</t>
  </si>
  <si>
    <t>v4.0  (Published March 2022)</t>
  </si>
  <si>
    <t>Scope:</t>
  </si>
  <si>
    <t>ATM Network (Base24), Card Issuance, Payment Switch</t>
  </si>
  <si>
    <t>Assessor / Owner:</t>
  </si>
  <si>
    <t>Mohamed Ragab – Head of IT Security</t>
  </si>
  <si>
    <t>Review Approved by:</t>
  </si>
  <si>
    <t>Date Prepared:</t>
  </si>
  <si>
    <t>06/04/2026</t>
  </si>
  <si>
    <t>Next Review Date:</t>
  </si>
  <si>
    <t>06/04/2027</t>
  </si>
  <si>
    <t>Document Status:</t>
  </si>
  <si>
    <t>DRAFT – Confidential</t>
  </si>
  <si>
    <t>STATUS LEGEND</t>
  </si>
  <si>
    <t>Compliant</t>
  </si>
  <si>
    <t>Control is fully implemented and evidenced.</t>
  </si>
  <si>
    <t>Non-Compliant</t>
  </si>
  <si>
    <t>Control is missing or failing – remediation required.</t>
  </si>
  <si>
    <t>Partially</t>
  </si>
  <si>
    <t>Control is in progress or partially implemented.</t>
  </si>
  <si>
    <t>N/A</t>
  </si>
  <si>
    <t>Requirement does not apply to this environment.</t>
  </si>
  <si>
    <t>Not Tested</t>
  </si>
  <si>
    <t>Assessment has not yet been performed.</t>
  </si>
  <si>
    <t>PCI DSS v4.0 — COMPLIANCE SUMMARY DASHBOARD</t>
  </si>
  <si>
    <t>Nile Crest Bank (NCB)  ·  Assessment Date: 06/04/2026</t>
  </si>
  <si>
    <t>#</t>
  </si>
  <si>
    <t>Requirement</t>
  </si>
  <si>
    <t>Total Controls</t>
  </si>
  <si>
    <t>1</t>
  </si>
  <si>
    <t>Install and Maintain Network Security Controls</t>
  </si>
  <si>
    <t>2</t>
  </si>
  <si>
    <t>Apply Secure Configurations to All System Components</t>
  </si>
  <si>
    <t>3</t>
  </si>
  <si>
    <t>Protect Stored Account Data</t>
  </si>
  <si>
    <t>4</t>
  </si>
  <si>
    <t>Protect Cardholder Data with Strong Cryptography During Transmission</t>
  </si>
  <si>
    <t>5</t>
  </si>
  <si>
    <t>Protect All Systems and Networks from Malicious Software</t>
  </si>
  <si>
    <t>6</t>
  </si>
  <si>
    <t>Develop and Maintain Secure Systems and Software</t>
  </si>
  <si>
    <t>7</t>
  </si>
  <si>
    <t>Restrict Access to System Components and Cardholder Data</t>
  </si>
  <si>
    <t>8</t>
  </si>
  <si>
    <t>Identify Users and Authenticate Access to System Components</t>
  </si>
  <si>
    <t>9</t>
  </si>
  <si>
    <t>Restrict Physical Access to Cardholder Data</t>
  </si>
  <si>
    <t>10</t>
  </si>
  <si>
    <t>Log and Monitor All Access to System Components and Cardholder Data</t>
  </si>
  <si>
    <t>11</t>
  </si>
  <si>
    <t>Test Security of Systems and Networks Regularly</t>
  </si>
  <si>
    <t>12</t>
  </si>
  <si>
    <t>Support Information Security with Organizational Policies and Programs</t>
  </si>
  <si>
    <t>TOTAL</t>
  </si>
  <si>
    <t>OVERALL COMPLIANCE %</t>
  </si>
  <si>
    <t>PCI DSS v4.0 — COMPLIANCE CHECKLIST  |  Nile Crest Bank (NCB)</t>
  </si>
  <si>
    <t>Req</t>
  </si>
  <si>
    <t>Sub-Req</t>
  </si>
  <si>
    <t>Control Requirement</t>
  </si>
  <si>
    <t>Status</t>
  </si>
  <si>
    <t>Evidence / Artefact</t>
  </si>
  <si>
    <t>Owner</t>
  </si>
  <si>
    <t>Remediation Deadline</t>
  </si>
  <si>
    <t xml:space="preserve">  REQUIREMENT 1  —  Install and Maintain Network Security Controls</t>
  </si>
  <si>
    <t>1.1</t>
  </si>
  <si>
    <t>Network security controls (NSCs) are defined, owned and managed.</t>
  </si>
  <si>
    <t>Fortinet FortiGate NSC policy documented and owned by Hossam Badr.</t>
  </si>
  <si>
    <t>Hossam Badr</t>
  </si>
  <si>
    <t>1.2</t>
  </si>
  <si>
    <t>Inbound and outbound traffic is restricted to only what is necessary.</t>
  </si>
  <si>
    <t>1.3</t>
  </si>
  <si>
    <t>Network access to and from the CDE is restricted.</t>
  </si>
  <si>
    <t>Base24 Payment Switch isolated in dedicated VLAN. DMZ segments internet-facing services.</t>
  </si>
  <si>
    <t>1.4</t>
  </si>
  <si>
    <t>Network connections between trusted and untrusted networks are controlled.</t>
  </si>
  <si>
    <t>Fortinet WAF/reverse proxy between internet zone and core banking zone.</t>
  </si>
  <si>
    <t>1.5</t>
  </si>
  <si>
    <t>Risks from connecting to untrusted networks are mitigated.</t>
  </si>
  <si>
    <t>Branch SD-WAN with VLAN segregation. Remote access via MFA-enforced VPN only.</t>
  </si>
  <si>
    <t xml:space="preserve">  REQUIREMENT 2  —  Apply Secure Configurations to All System Components</t>
  </si>
  <si>
    <t>2.1</t>
  </si>
  <si>
    <t>Processes are in place to manage vendor default accounts and settings.</t>
  </si>
  <si>
    <t>Hardening baseline applied on Base24, Cisco ISR, Fortinet, and ATM hosts.</t>
  </si>
  <si>
    <t>Mohamed Ragab</t>
  </si>
  <si>
    <t>2.2</t>
  </si>
  <si>
    <t>System components are configured and managed securely.</t>
  </si>
  <si>
    <t>CIS Benchmarks adopted. Configuration management via change control process.</t>
  </si>
  <si>
    <t>2.3</t>
  </si>
  <si>
    <t>Wireless environments are configured and managed securely.</t>
  </si>
  <si>
    <t>Branch Wi-Fi segregated from corporate LAN. WPA3 enforced. Guest SSID isolated.</t>
  </si>
  <si>
    <t>2.4</t>
  </si>
  <si>
    <t>An inventory of all in-scope system components is maintained.</t>
  </si>
  <si>
    <t>IT Asset Inventory maintained (see Asset Inventory document). Reviewed quarterly.</t>
  </si>
  <si>
    <t>Sara Ashraf</t>
  </si>
  <si>
    <t xml:space="preserve">  REQUIREMENT 3  —  Protect Stored Account Data</t>
  </si>
  <si>
    <t>3.1</t>
  </si>
  <si>
    <t>Processes to protect stored account data are defined and understood.</t>
  </si>
  <si>
    <t>Data classification policy defines CHD/SAD handling. DLP policy enforced on Azure.</t>
  </si>
  <si>
    <t>Amira Zaki</t>
  </si>
  <si>
    <t>3.2</t>
  </si>
  <si>
    <t>Storage of sensitive authentication data (SAD) is minimised.</t>
  </si>
  <si>
    <t>SAD not stored post-authorisation. Base24 configured to truncate PANs in logs.</t>
  </si>
  <si>
    <t>3.3</t>
  </si>
  <si>
    <t>Sensitive authentication data (SAD) is not retained after authorisation.</t>
  </si>
  <si>
    <t>Verified with Base24 ACI config audit. No SAD found in test DB extracts.</t>
  </si>
  <si>
    <t>3.4</t>
  </si>
  <si>
    <t>Primary account numbers (PANs) are secured with strong cryptography.</t>
  </si>
  <si>
    <t>PANs encrypted at rest using AES-256 in Oracle RAC. Thales Luna HSM manages keys.</t>
  </si>
  <si>
    <t>3.5</t>
  </si>
  <si>
    <t>Primary account numbers (PANs) are secured wherever they are displayed.</t>
  </si>
  <si>
    <t>PAN masking (first 6 / last 4 digits) enforced in all application UI layers.</t>
  </si>
  <si>
    <t>3.6</t>
  </si>
  <si>
    <t>Cryptographic keys are secured against disclosure and misuse.</t>
  </si>
  <si>
    <t>Thales Luna HSM used for all key material. Dual-control and split-knowledge enforced.</t>
  </si>
  <si>
    <t>Nour El-Din</t>
  </si>
  <si>
    <t>3.7</t>
  </si>
  <si>
    <t>All cryptographic key management policies and procedures are documented.</t>
  </si>
  <si>
    <t>Key Management Policy v1.0 approved by CISO. Covers generation, rotation, destruction.</t>
  </si>
  <si>
    <t>Layla Farouk</t>
  </si>
  <si>
    <t xml:space="preserve">  REQUIREMENT 4  —  Protect Cardholder Data with Strong Cryptography During Transmission</t>
  </si>
  <si>
    <t>4.1</t>
  </si>
  <si>
    <t>Processes for protecting cardholder data during transmission are defined.</t>
  </si>
  <si>
    <t>Data-in-transit policy mandates TLS 1.2+ for all cardholder data channels.</t>
  </si>
  <si>
    <t>4.2</t>
  </si>
  <si>
    <t>PAN is protected during transmission over untrusted networks.</t>
  </si>
  <si>
    <t>TLS 1.3 enforced on Online Banking Portal (Azure). ATM PIN encryption via HSM.</t>
  </si>
  <si>
    <t>4.3</t>
  </si>
  <si>
    <t>PAN is protected during wireless transmission.</t>
  </si>
  <si>
    <t>No CHD transmitted over wireless. ATM and POS use wired/dedicated encrypted links.</t>
  </si>
  <si>
    <t xml:space="preserve">  REQUIREMENT 5  —  Protect All Systems and Networks from Malicious Software</t>
  </si>
  <si>
    <t>5.1</t>
  </si>
  <si>
    <t>Processes to protect against malicious software are in place.</t>
  </si>
  <si>
    <t>Anti-malware policy defined. Microsoft Defender deployed on all endpoints.</t>
  </si>
  <si>
    <t>5.2</t>
  </si>
  <si>
    <t>Malicious software (malware) is prevented or detected and addressed.</t>
  </si>
  <si>
    <t>MS Defender + Sentinel SIEM integration. Real-time alerts to SOC L1/L2.</t>
  </si>
  <si>
    <t>Walid Kamal</t>
  </si>
  <si>
    <t>5.3</t>
  </si>
  <si>
    <t>Anti-malware mechanisms and processes are active and monitored.</t>
  </si>
  <si>
    <t>Daily AV scan schedules. Sentinel dashboards reviewed by SOC daily.</t>
  </si>
  <si>
    <t>5.4</t>
  </si>
  <si>
    <t>Anti-phishing mechanisms are in place.</t>
  </si>
  <si>
    <t>Microsoft Defender for O365 anti-phishing + DLP on Exchange Online.</t>
  </si>
  <si>
    <t xml:space="preserve">  REQUIREMENT 6  —  Develop and Maintain Secure Systems and Software</t>
  </si>
  <si>
    <t>6.1</t>
  </si>
  <si>
    <t>Processes to identify and manage vulnerabilities are implemented.</t>
  </si>
  <si>
    <t>Vulnerability management process owned by Mohamed Ragab. Monthly scan cycle.</t>
  </si>
  <si>
    <t>6.2</t>
  </si>
  <si>
    <t>Bespoke and custom software is developed securely.</t>
  </si>
  <si>
    <t>Secure SDLC policy adopted. Mobile app (AWS) follows OWASP MASVS.</t>
  </si>
  <si>
    <t>Nader Saleh</t>
  </si>
  <si>
    <t>6.3</t>
  </si>
  <si>
    <t>Security vulnerabilities are identified and addressed.</t>
  </si>
  <si>
    <t>3 critical CVEs open on T24 CBS (60+ days). OPEN FINDING – remediation overdue.</t>
  </si>
  <si>
    <t>Ibrahim Gamal</t>
  </si>
  <si>
    <t>6.4</t>
  </si>
  <si>
    <t>Public-facing web applications are protected against attacks.</t>
  </si>
  <si>
    <t>Fortinet WAF protects Online Banking Portal and Open Banking API. Rules reviewed monthly.</t>
  </si>
  <si>
    <t>6.5</t>
  </si>
  <si>
    <t>All web-facing and internet-accessible services are inventoried and protected.</t>
  </si>
  <si>
    <t>Internet-facing assets: Mobile App (AWS), Online Portal (Azure), Open Banking API.</t>
  </si>
  <si>
    <t xml:space="preserve">  REQUIREMENT 7  —  Restrict Access to System Components and Cardholder Data</t>
  </si>
  <si>
    <t>7.1</t>
  </si>
  <si>
    <t>Processes to control access to system components are defined.</t>
  </si>
  <si>
    <t>Access Control Policy in place. Need-to-know enforced for CDE access.</t>
  </si>
  <si>
    <t>7.2</t>
  </si>
  <si>
    <t>Access to system components and data is restricted appropriately.</t>
  </si>
  <si>
    <t>Role-based access on T24, Base24, Oracle RAC. PAM integration via Entra ID.</t>
  </si>
  <si>
    <t>7.3</t>
  </si>
  <si>
    <t>Access to system components and data is managed via an access control system.</t>
  </si>
  <si>
    <t>AD/Entra ID hybrid with MFA. PAM tool manages privileged account sessions.</t>
  </si>
  <si>
    <t xml:space="preserve">  REQUIREMENT 8  —  Identify Users and Authenticate Access to System Components</t>
  </si>
  <si>
    <t>8.1</t>
  </si>
  <si>
    <t>Processes to identify and authenticate users are defined.</t>
  </si>
  <si>
    <t>Identity and Access Management (IAM) policy covers all 1,200 employee accounts.</t>
  </si>
  <si>
    <t>8.2</t>
  </si>
  <si>
    <t>All users are assigned a unique ID before access is allowed.</t>
  </si>
  <si>
    <t>Unique AD accounts for all staff. Shared accounts prohibited per policy.</t>
  </si>
  <si>
    <t>8.3</t>
  </si>
  <si>
    <t>Strong authentication for users and administrators is established.</t>
  </si>
  <si>
    <t>MFA enforced via Entra ID for all staff. OTP for mobile banking customers.</t>
  </si>
  <si>
    <t>8.4</t>
  </si>
  <si>
    <t>Multi-factor authentication (MFA) is used to secure all non-console access.</t>
  </si>
  <si>
    <t>MFA enforced on VPN, RDP, Azure portal, AWS console. Confirmed active.</t>
  </si>
  <si>
    <t>8.5</t>
  </si>
  <si>
    <t>MFA systems are configured and secured against misuse.</t>
  </si>
  <si>
    <t>MFA bypass procedures documented. Emergency break-glass accounts logged in SIEM.</t>
  </si>
  <si>
    <t>8.6</t>
  </si>
  <si>
    <t>Use of application and system accounts and associated credentials is managed.</t>
  </si>
  <si>
    <t>Service accounts inventoried. Passwords rotated quarterly. No interactive login permitted.</t>
  </si>
  <si>
    <t>8.7</t>
  </si>
  <si>
    <t>All access to databases containing cardholder data is restricted.</t>
  </si>
  <si>
    <t>Oracle RAC access restricted to DBAs (Amira Zaki team). Queries logged via SIEM.</t>
  </si>
  <si>
    <t xml:space="preserve">  REQUIREMENT 9  —  Restrict Physical Access to Cardholder Data</t>
  </si>
  <si>
    <t>9.1</t>
  </si>
  <si>
    <t>Processes to restrict physical access are in place.</t>
  </si>
  <si>
    <t>Lenel OnGuard access control at HQ, Primary DC (6th Oct), and DR Site (Alexandria).</t>
  </si>
  <si>
    <t>9.2</t>
  </si>
  <si>
    <t>Physical access controls manage entry into facilities and systems in CDE.</t>
  </si>
  <si>
    <t>Badge access + CCTV at all DC entry points. IP cameras integrated with SOC alerts.</t>
  </si>
  <si>
    <t>9.3</t>
  </si>
  <si>
    <t>Physical access for personnel and visitors is authorised and managed.</t>
  </si>
  <si>
    <t>Visitor logbook at DC reception. Escort policy for third-party access enforced.</t>
  </si>
  <si>
    <t>9.4</t>
  </si>
  <si>
    <t>Media with cardholder data is secured.</t>
  </si>
  <si>
    <t>Encrypted backup media stored in locked cabinets at DC. Tape inventory maintained.</t>
  </si>
  <si>
    <t>9.5</t>
  </si>
  <si>
    <t>Point-of-interaction (POI) devices are protected from tampering.</t>
  </si>
  <si>
    <t>ATM anti-skimming inspection schedule: monthly. 312 ATMs nationwide. Diebold Nixdorf vendor.</t>
  </si>
  <si>
    <t>9.6</t>
  </si>
  <si>
    <t>Hard-copy materials with cardholder data are destroyed securely.</t>
  </si>
  <si>
    <t>Cross-cut shredding policy. Secure bins in all branches. Annual destruction certificates.</t>
  </si>
  <si>
    <t xml:space="preserve">  REQUIREMENT 10  —  Log and Monitor All Access to System Components and Cardholder Data</t>
  </si>
  <si>
    <t>10.1</t>
  </si>
  <si>
    <t>Logging processes are implemented to support detection of anomalies.</t>
  </si>
  <si>
    <t>MS Sentinel aggregates logs from T24, Base24, AD, SWIFT SAG, Oracle RAC.</t>
  </si>
  <si>
    <t>10.2</t>
  </si>
  <si>
    <t>Audit logs capture all required events.</t>
  </si>
  <si>
    <t>Log policy captures: logon/logoff, privilege use, config changes, DB queries.</t>
  </si>
  <si>
    <t>10.3</t>
  </si>
  <si>
    <t>Audit logs are protected from destruction and unauthorised modification.</t>
  </si>
  <si>
    <t>Sentinel logs stored in Azure immutable storage. Retention: 12 months online + 12 months archive.</t>
  </si>
  <si>
    <t>10.4</t>
  </si>
  <si>
    <t>Audit log reviews are performed to identify anomalies.</t>
  </si>
  <si>
    <t>SOC L1/L2 review Sentinel dashboards daily. Automated alerting for critical events.</t>
  </si>
  <si>
    <t>10.5</t>
  </si>
  <si>
    <t>Audit log history is retained for at least 12 months.</t>
  </si>
  <si>
    <t>Confirmed: Azure Sentinel 12-month hot + 12-month cold storage configured.</t>
  </si>
  <si>
    <t>10.6</t>
  </si>
  <si>
    <t>Time-synchronisation technology is configured and used.</t>
  </si>
  <si>
    <t>NTP synchronised across all servers and network devices. Stratum 2 NTP server at DC.</t>
  </si>
  <si>
    <t>10.7</t>
  </si>
  <si>
    <t>Failures of critical security controls are detected and reported.</t>
  </si>
  <si>
    <t>Sentinel alert rules for AV failure, log pipeline breaks, MFA failures. Paged to SOC.</t>
  </si>
  <si>
    <t xml:space="preserve">  REQUIREMENT 11  —  Test Security of Systems and Networks Regularly</t>
  </si>
  <si>
    <t>11.1</t>
  </si>
  <si>
    <t>Processes for security testing are defined and implemented.</t>
  </si>
  <si>
    <t>Annual penetration test by CyberShield LLC. Quarterly vulnerability scans.</t>
  </si>
  <si>
    <t>11.2</t>
  </si>
  <si>
    <t>Wireless access points are identified and managed.</t>
  </si>
  <si>
    <t>Wireless survey conducted annually. Rogue AP detection via Cisco WLC.</t>
  </si>
  <si>
    <t>11.3</t>
  </si>
  <si>
    <t>External and internal vulnerabilities are identified, prioritised and addressed.</t>
  </si>
  <si>
    <t>Nessus vulnerability scanner deployed. Monthly internal scans. Findings tracked in risk register.</t>
  </si>
  <si>
    <t>11.4</t>
  </si>
  <si>
    <t>External and internal penetration testing is performed regularly.</t>
  </si>
  <si>
    <t>CyberShield LLC annual pentest completed. 3 open findings: CBS CVEs, ATM EOL OS, cert pinning.</t>
  </si>
  <si>
    <t>11.5</t>
  </si>
  <si>
    <t>Network intrusions and unexpected file changes are detected and responded to.</t>
  </si>
  <si>
    <t>MS Sentinel IDS rules + file integrity monitoring on CBS and Base24 servers.</t>
  </si>
  <si>
    <t>11.6</t>
  </si>
  <si>
    <t>Unauthorised changes on payment pages are detected and alerted.</t>
  </si>
  <si>
    <t>Online Banking Portal (Azure) monitored via Sentinel change alerts. Weekly review.</t>
  </si>
  <si>
    <t xml:space="preserve">  REQUIREMENT 12  —  Support Information Security with Organisational Policies and Programs</t>
  </si>
  <si>
    <t>12.1</t>
  </si>
  <si>
    <t>An information security policy is established and communicated.</t>
  </si>
  <si>
    <t>Cybersecurity Risk Management Policy v1.0 approved by CISO Layla Farouk (06/04/2026).</t>
  </si>
  <si>
    <t>12.2</t>
  </si>
  <si>
    <t>Acceptable use policies for end-user technologies are defined and implemented.</t>
  </si>
  <si>
    <t>Acceptable Use Policy (AUP) published on intranet. All staff signed on onboarding.</t>
  </si>
  <si>
    <t>Dina Naguib</t>
  </si>
  <si>
    <t>12.3</t>
  </si>
  <si>
    <t>Risks to the CDE are formally identified, evaluated and managed.</t>
  </si>
  <si>
    <t>12.4</t>
  </si>
  <si>
    <t>PCI DSS compliance is managed.</t>
  </si>
  <si>
    <t>PCI DSS programme owned by CISO. Annual SAQ/QSA assessment. Quarterly status reports to board.</t>
  </si>
  <si>
    <t>12.5</t>
  </si>
  <si>
    <t>PCI DSS scope is documented and validated.</t>
  </si>
  <si>
    <t>CDE scope includes Base24, Oracle RAC, Thales HSM, ATM network, SWIFT SAG.</t>
  </si>
  <si>
    <t>12.6</t>
  </si>
  <si>
    <t>Security awareness education is ongoing.</t>
  </si>
  <si>
    <t>Annual mandatory security awareness training for all 1,200 staff. Phishing simulations quarterly.</t>
  </si>
  <si>
    <t>12.7</t>
  </si>
  <si>
    <t>Personnel are screened to reduce risks from insiders.</t>
  </si>
  <si>
    <t>Background checks performed at hire. Privileged user annual re-vetting process.</t>
  </si>
  <si>
    <t>12.8</t>
  </si>
  <si>
    <t>Risks associated with third-party/vendor relationships are managed.</t>
  </si>
  <si>
    <t>Vendor risk assessments for Temenos, BancTech, Diebold Nixdorf, NICE Actimize, AWS, Microsoft.</t>
  </si>
  <si>
    <t>12.9</t>
  </si>
  <si>
    <t>Third-party service providers (TPSPs) acknowledge their PCI DSS responsibilities.</t>
  </si>
  <si>
    <t>Contractual PCI DSS obligations in all vendor agreements. Annual compliance attestations requested.</t>
  </si>
  <si>
    <t>12.10</t>
  </si>
  <si>
    <t>Suspected and confirmed security incidents are responded to immediately.</t>
  </si>
  <si>
    <t>Incident Response Plan v1.0 in place. SWIFT-specific IR playbook (BEC/fraud). SOC on 24/7.</t>
  </si>
  <si>
    <t>New Nile Bank</t>
  </si>
  <si>
    <t>Samara– CISO</t>
  </si>
  <si>
    <t>Assessor: Mohamed Ragab  ·  CISO Samara Almursy Risha  ·  Date: 06/04/2026  ·  Status: DRAFT</t>
  </si>
  <si>
    <t>Firewall ruleset reviewed quarterly. Restrictions on all zones are applied</t>
  </si>
  <si>
    <t>Updating the TLS 1.2 to 1.3</t>
  </si>
  <si>
    <t>New Nile Implementation Notes</t>
  </si>
  <si>
    <t>Cybersecurity Risk Register maintained by Samara Risha. Reviewed monthly by CISO.</t>
  </si>
  <si>
    <t>Defined in the Scope doucment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</si>
</sst>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17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sz val="11"/>
      <color rgb="FF000000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18"/>
      <color rgb="FFFFFFFF"/>
      <name val="Calibri"/>
      <charset val="1"/>
    </font>
    <font>
      <b/>
      <sz val="10"/>
      <color rgb="FFFFFFFF"/>
      <name val="Calibri"/>
      <charset val="1"/>
    </font>
    <font>
      <b/>
      <sz val="16"/>
      <color rgb="FFFFFFFF"/>
      <name val="Calibri"/>
      <charset val="1"/>
    </font>
    <font>
      <i/>
      <sz val="10"/>
      <color rgb="FFFFFFFF"/>
      <name val="Calibri"/>
      <charset val="1"/>
    </font>
    <font>
      <b/>
      <sz val="9"/>
      <color rgb="FF000000"/>
      <name val="Calibri"/>
      <charset val="1"/>
    </font>
    <font>
      <b/>
      <sz val="10"/>
      <color rgb="FF2E5FA3"/>
      <name val="Calibri"/>
      <charset val="1"/>
    </font>
    <font>
      <b/>
      <sz val="14"/>
      <color rgb="FFFFFFFF"/>
      <name val="Calibri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D6E4F7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CE4D6"/>
        <bgColor rgb="FFFDECEA"/>
      </patternFill>
    </fill>
    <fill>
      <patternFill patternType="solid">
        <fgColor rgb="FFFFFFFF"/>
        <bgColor rgb="FFF2F2F2"/>
      </patternFill>
    </fill>
    <fill>
      <patternFill patternType="solid">
        <fgColor rgb="FFFFEB9C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FDECEA"/>
        <bgColor rgb="FFF2F2F2"/>
      </patternFill>
    </fill>
  </fills>
  <borders count="6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3" borderId="5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14" fontId="6" fillId="8" borderId="3" xfId="0" applyNumberFormat="1" applyFont="1" applyFill="1" applyBorder="1" applyAlignment="1">
      <alignment horizontal="left" vertical="center" wrapText="1"/>
    </xf>
    <xf numFmtId="14" fontId="6" fillId="4" borderId="3" xfId="0" applyNumberFormat="1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DEDED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CEA"/>
      <rgbColor rgb="FFE2EFDA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9"/>
  <sheetViews>
    <sheetView showGridLines="0" tabSelected="1" zoomScaleNormal="100" workbookViewId="0">
      <selection activeCell="C12" sqref="C12:D12"/>
    </sheetView>
  </sheetViews>
  <sheetFormatPr defaultColWidth="8.6640625" defaultRowHeight="14.4" x14ac:dyDescent="0.3"/>
  <cols>
    <col min="1" max="1" width="3" customWidth="1"/>
    <col min="2" max="2" width="28" customWidth="1"/>
    <col min="3" max="3" width="40" customWidth="1"/>
    <col min="4" max="4" width="20" customWidth="1"/>
    <col min="5" max="5" width="3" customWidth="1"/>
  </cols>
  <sheetData>
    <row r="1" spans="2:4" ht="18" customHeight="1" x14ac:dyDescent="0.3"/>
    <row r="2" spans="2:4" ht="18" customHeight="1" x14ac:dyDescent="0.3">
      <c r="B2" s="14" t="s">
        <v>0</v>
      </c>
      <c r="C2" s="14"/>
      <c r="D2" s="14"/>
    </row>
    <row r="3" spans="2:4" ht="18" customHeight="1" x14ac:dyDescent="0.3">
      <c r="B3" s="14"/>
      <c r="C3" s="14"/>
      <c r="D3" s="14"/>
    </row>
    <row r="4" spans="2:4" ht="18" customHeight="1" x14ac:dyDescent="0.3">
      <c r="B4" s="14"/>
      <c r="C4" s="14"/>
      <c r="D4" s="14"/>
    </row>
    <row r="5" spans="2:4" ht="18" customHeight="1" x14ac:dyDescent="0.3">
      <c r="B5" s="13" t="s">
        <v>1</v>
      </c>
      <c r="C5" s="13"/>
      <c r="D5" s="13"/>
    </row>
    <row r="6" spans="2:4" ht="18" customHeight="1" x14ac:dyDescent="0.3"/>
    <row r="7" spans="2:4" ht="21.75" customHeight="1" x14ac:dyDescent="0.3">
      <c r="B7" s="15" t="s">
        <v>2</v>
      </c>
      <c r="C7" s="12" t="s">
        <v>289</v>
      </c>
      <c r="D7" s="12"/>
    </row>
    <row r="8" spans="2:4" ht="21.75" customHeight="1" x14ac:dyDescent="0.3">
      <c r="B8" s="15" t="s">
        <v>3</v>
      </c>
      <c r="C8" s="12" t="s">
        <v>4</v>
      </c>
      <c r="D8" s="12"/>
    </row>
    <row r="9" spans="2:4" ht="21.75" customHeight="1" x14ac:dyDescent="0.3">
      <c r="B9" s="15" t="s">
        <v>5</v>
      </c>
      <c r="C9" s="12" t="s">
        <v>6</v>
      </c>
      <c r="D9" s="12"/>
    </row>
    <row r="10" spans="2:4" ht="21.75" customHeight="1" x14ac:dyDescent="0.3">
      <c r="B10" s="15" t="s">
        <v>7</v>
      </c>
      <c r="C10" s="12" t="s">
        <v>8</v>
      </c>
      <c r="D10" s="12"/>
    </row>
    <row r="11" spans="2:4" ht="21.75" customHeight="1" x14ac:dyDescent="0.3">
      <c r="B11" s="15" t="s">
        <v>9</v>
      </c>
      <c r="C11" s="12" t="s">
        <v>10</v>
      </c>
      <c r="D11" s="12"/>
    </row>
    <row r="12" spans="2:4" ht="21.75" customHeight="1" x14ac:dyDescent="0.3">
      <c r="B12" s="15" t="s">
        <v>11</v>
      </c>
      <c r="C12" s="12" t="s">
        <v>290</v>
      </c>
      <c r="D12" s="12"/>
    </row>
    <row r="13" spans="2:4" ht="21.75" customHeight="1" x14ac:dyDescent="0.3">
      <c r="B13" s="15" t="s">
        <v>12</v>
      </c>
      <c r="C13" s="12" t="s">
        <v>13</v>
      </c>
      <c r="D13" s="12"/>
    </row>
    <row r="14" spans="2:4" ht="21.75" customHeight="1" x14ac:dyDescent="0.3">
      <c r="B14" s="15" t="s">
        <v>14</v>
      </c>
      <c r="C14" s="12" t="s">
        <v>15</v>
      </c>
      <c r="D14" s="12"/>
    </row>
    <row r="15" spans="2:4" ht="21.75" customHeight="1" x14ac:dyDescent="0.3">
      <c r="B15" s="15" t="s">
        <v>16</v>
      </c>
      <c r="C15" s="12" t="s">
        <v>17</v>
      </c>
      <c r="D15" s="12"/>
    </row>
    <row r="16" spans="2:4" ht="18" customHeight="1" x14ac:dyDescent="0.3"/>
    <row r="17" spans="2:4" ht="18" customHeight="1" x14ac:dyDescent="0.3">
      <c r="B17" s="11" t="s">
        <v>18</v>
      </c>
      <c r="C17" s="11"/>
      <c r="D17" s="11"/>
    </row>
    <row r="18" spans="2:4" ht="19.5" customHeight="1" x14ac:dyDescent="0.3">
      <c r="B18" s="16" t="s">
        <v>19</v>
      </c>
      <c r="C18" s="10" t="s">
        <v>20</v>
      </c>
      <c r="D18" s="10"/>
    </row>
    <row r="19" spans="2:4" ht="19.5" customHeight="1" x14ac:dyDescent="0.3">
      <c r="B19" s="17" t="s">
        <v>21</v>
      </c>
      <c r="C19" s="9" t="s">
        <v>22</v>
      </c>
      <c r="D19" s="9"/>
    </row>
    <row r="20" spans="2:4" ht="19.5" customHeight="1" x14ac:dyDescent="0.3">
      <c r="B20" s="19" t="s">
        <v>23</v>
      </c>
      <c r="C20" s="10" t="s">
        <v>24</v>
      </c>
      <c r="D20" s="10"/>
    </row>
    <row r="21" spans="2:4" ht="19.5" customHeight="1" x14ac:dyDescent="0.3">
      <c r="B21" s="20" t="s">
        <v>25</v>
      </c>
      <c r="C21" s="9" t="s">
        <v>26</v>
      </c>
      <c r="D21" s="9"/>
    </row>
    <row r="22" spans="2:4" ht="19.5" customHeight="1" x14ac:dyDescent="0.3">
      <c r="B22" s="21" t="s">
        <v>27</v>
      </c>
      <c r="C22" s="10" t="s">
        <v>28</v>
      </c>
      <c r="D22" s="10"/>
    </row>
    <row r="23" spans="2:4" ht="18" customHeight="1" x14ac:dyDescent="0.3"/>
    <row r="24" spans="2:4" ht="18" customHeight="1" x14ac:dyDescent="0.3"/>
    <row r="25" spans="2:4" ht="18" customHeight="1" x14ac:dyDescent="0.3"/>
    <row r="26" spans="2:4" ht="18" customHeight="1" x14ac:dyDescent="0.3"/>
    <row r="27" spans="2:4" ht="18" customHeight="1" x14ac:dyDescent="0.3"/>
    <row r="28" spans="2:4" ht="18" customHeight="1" x14ac:dyDescent="0.3"/>
    <row r="29" spans="2:4" ht="18" customHeight="1" x14ac:dyDescent="0.3"/>
    <row r="30" spans="2:4" ht="18" customHeight="1" x14ac:dyDescent="0.3"/>
    <row r="31" spans="2:4" ht="18" customHeight="1" x14ac:dyDescent="0.3"/>
    <row r="32" spans="2:4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</sheetData>
  <mergeCells count="17">
    <mergeCell ref="C21:D21"/>
    <mergeCell ref="C22:D22"/>
    <mergeCell ref="C15:D15"/>
    <mergeCell ref="B17:D17"/>
    <mergeCell ref="C18:D18"/>
    <mergeCell ref="C19:D19"/>
    <mergeCell ref="C20:D20"/>
    <mergeCell ref="C10:D10"/>
    <mergeCell ref="C11:D11"/>
    <mergeCell ref="C12:D12"/>
    <mergeCell ref="C13:D13"/>
    <mergeCell ref="C14:D14"/>
    <mergeCell ref="B2:D4"/>
    <mergeCell ref="B5:D5"/>
    <mergeCell ref="C7:D7"/>
    <mergeCell ref="C8:D8"/>
    <mergeCell ref="C9:D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0"/>
  <sheetViews>
    <sheetView showGridLines="0" topLeftCell="A3" zoomScaleNormal="100" workbookViewId="0">
      <selection activeCell="A18" sqref="A18:XFD18"/>
    </sheetView>
  </sheetViews>
  <sheetFormatPr defaultColWidth="8.6640625" defaultRowHeight="14.4" x14ac:dyDescent="0.3"/>
  <cols>
    <col min="1" max="1" width="3" customWidth="1"/>
    <col min="2" max="2" width="6" customWidth="1"/>
    <col min="3" max="3" width="40" customWidth="1"/>
    <col min="4" max="7" width="15" customWidth="1"/>
    <col min="8" max="8" width="18" customWidth="1"/>
  </cols>
  <sheetData>
    <row r="2" spans="2:8" ht="15" customHeight="1" x14ac:dyDescent="0.3">
      <c r="B2" s="8" t="s">
        <v>29</v>
      </c>
      <c r="C2" s="8"/>
      <c r="D2" s="8"/>
      <c r="E2" s="8"/>
      <c r="F2" s="8"/>
      <c r="G2" s="8"/>
      <c r="H2" s="8"/>
    </row>
    <row r="3" spans="2:8" x14ac:dyDescent="0.3">
      <c r="B3" s="8"/>
      <c r="C3" s="8"/>
      <c r="D3" s="8"/>
      <c r="E3" s="8"/>
      <c r="F3" s="8"/>
      <c r="G3" s="8"/>
      <c r="H3" s="8"/>
    </row>
    <row r="4" spans="2:8" ht="15" customHeight="1" x14ac:dyDescent="0.3">
      <c r="B4" s="7" t="s">
        <v>30</v>
      </c>
      <c r="C4" s="7"/>
      <c r="D4" s="7"/>
      <c r="E4" s="7"/>
      <c r="F4" s="7"/>
      <c r="G4" s="7"/>
      <c r="H4" s="7"/>
    </row>
    <row r="6" spans="2:8" ht="27.75" customHeight="1" x14ac:dyDescent="0.3">
      <c r="B6" s="22" t="s">
        <v>31</v>
      </c>
      <c r="C6" s="22" t="s">
        <v>32</v>
      </c>
      <c r="D6" s="22" t="s">
        <v>33</v>
      </c>
      <c r="E6" s="22" t="s">
        <v>19</v>
      </c>
      <c r="F6" s="22" t="s">
        <v>21</v>
      </c>
      <c r="G6" s="22" t="s">
        <v>23</v>
      </c>
      <c r="H6" s="22" t="s">
        <v>25</v>
      </c>
    </row>
    <row r="7" spans="2:8" ht="21.75" customHeight="1" x14ac:dyDescent="0.3">
      <c r="B7" s="23" t="s">
        <v>34</v>
      </c>
      <c r="C7" s="24" t="s">
        <v>35</v>
      </c>
      <c r="D7" s="25">
        <f>COUNTIFS(Checklist!B:B,B7,Checklist!F:F,"&lt;&gt;")</f>
        <v>5</v>
      </c>
      <c r="E7" s="25">
        <f>COUNTIFS(Checklist!B:B,B7,Checklist!F:F,"Compliant")</f>
        <v>5</v>
      </c>
      <c r="F7" s="25">
        <f>COUNTIFS(Checklist!B:B,B7,Checklist!F:F,"Non-Compliant")</f>
        <v>0</v>
      </c>
      <c r="G7" s="25">
        <f>COUNTIFS(Checklist!B:B,B7,Checklist!F:F,"Partially")</f>
        <v>0</v>
      </c>
      <c r="H7" s="25">
        <f>COUNTIFS(Checklist!B:B,B7,Checklist!F:F,"N/A")</f>
        <v>0</v>
      </c>
    </row>
    <row r="8" spans="2:8" ht="30.6" customHeight="1" x14ac:dyDescent="0.3">
      <c r="B8" s="26" t="s">
        <v>36</v>
      </c>
      <c r="C8" s="18" t="s">
        <v>37</v>
      </c>
      <c r="D8" s="27">
        <f>COUNTIFS(Checklist!B:B,B8,Checklist!F:F,"&lt;&gt;")</f>
        <v>4</v>
      </c>
      <c r="E8" s="27">
        <f>COUNTIFS(Checklist!B:B,B8,Checklist!F:F,"Compliant")</f>
        <v>4</v>
      </c>
      <c r="F8" s="27">
        <f>COUNTIFS(Checklist!B:B,B8,Checklist!F:F,"Non-Compliant")</f>
        <v>0</v>
      </c>
      <c r="G8" s="27">
        <f>COUNTIFS(Checklist!B:B,B8,Checklist!F:F,"Partially")</f>
        <v>0</v>
      </c>
      <c r="H8" s="27">
        <f>COUNTIFS(Checklist!B:B,B8,Checklist!F:F,"N/A")</f>
        <v>0</v>
      </c>
    </row>
    <row r="9" spans="2:8" ht="21.75" customHeight="1" x14ac:dyDescent="0.3">
      <c r="B9" s="23" t="s">
        <v>38</v>
      </c>
      <c r="C9" s="24" t="s">
        <v>39</v>
      </c>
      <c r="D9" s="25">
        <f>COUNTIFS(Checklist!B:B,B9,Checklist!F:F,"&lt;&gt;")</f>
        <v>7</v>
      </c>
      <c r="E9" s="25">
        <f>COUNTIFS(Checklist!B:B,B9,Checklist!F:F,"Compliant")</f>
        <v>5</v>
      </c>
      <c r="F9" s="25">
        <f>COUNTIFS(Checklist!B:B,B9,Checklist!F:F,"Non-Compliant")</f>
        <v>1</v>
      </c>
      <c r="G9" s="25">
        <f>COUNTIFS(Checklist!B:B,B9,Checklist!F:F,"Partially")</f>
        <v>1</v>
      </c>
      <c r="H9" s="25">
        <f>COUNTIFS(Checklist!B:B,B9,Checklist!F:F,"N/A")</f>
        <v>0</v>
      </c>
    </row>
    <row r="10" spans="2:8" ht="28.2" customHeight="1" x14ac:dyDescent="0.3">
      <c r="B10" s="26" t="s">
        <v>40</v>
      </c>
      <c r="C10" s="18" t="s">
        <v>41</v>
      </c>
      <c r="D10" s="27">
        <f>COUNTIFS(Checklist!B:B,B10,Checklist!F:F,"&lt;&gt;")</f>
        <v>3</v>
      </c>
      <c r="E10" s="27">
        <f>COUNTIFS(Checklist!B:B,B10,Checklist!F:F,"Compliant")</f>
        <v>1</v>
      </c>
      <c r="F10" s="27">
        <f>COUNTIFS(Checklist!B:B,B10,Checklist!F:F,"Non-Compliant")</f>
        <v>0</v>
      </c>
      <c r="G10" s="27">
        <f>COUNTIFS(Checklist!B:B,B10,Checklist!F:F,"Partially")</f>
        <v>1</v>
      </c>
      <c r="H10" s="27">
        <f>COUNTIFS(Checklist!B:B,B10,Checklist!F:F,"N/A")</f>
        <v>1</v>
      </c>
    </row>
    <row r="11" spans="2:8" ht="30.6" customHeight="1" x14ac:dyDescent="0.3">
      <c r="B11" s="23" t="s">
        <v>42</v>
      </c>
      <c r="C11" s="24" t="s">
        <v>43</v>
      </c>
      <c r="D11" s="25">
        <f>COUNTIFS(Checklist!B:B,B11,Checklist!F:F,"&lt;&gt;")</f>
        <v>4</v>
      </c>
      <c r="E11" s="25">
        <f>COUNTIFS(Checklist!B:B,B11,Checklist!F:F,"Compliant")</f>
        <v>4</v>
      </c>
      <c r="F11" s="25">
        <f>COUNTIFS(Checklist!B:B,B11,Checklist!F:F,"Non-Compliant")</f>
        <v>0</v>
      </c>
      <c r="G11" s="25">
        <f>COUNTIFS(Checklist!B:B,B11,Checklist!F:F,"Partially")</f>
        <v>0</v>
      </c>
      <c r="H11" s="25">
        <f>COUNTIFS(Checklist!B:B,B11,Checklist!F:F,"N/A")</f>
        <v>0</v>
      </c>
    </row>
    <row r="12" spans="2:8" ht="28.8" customHeight="1" x14ac:dyDescent="0.3">
      <c r="B12" s="26" t="s">
        <v>44</v>
      </c>
      <c r="C12" s="18" t="s">
        <v>45</v>
      </c>
      <c r="D12" s="27">
        <f>COUNTIFS(Checklist!B:B,B12,Checklist!F:F,"&lt;&gt;")</f>
        <v>5</v>
      </c>
      <c r="E12" s="27">
        <f>COUNTIFS(Checklist!B:B,B12,Checklist!F:F,"Compliant")</f>
        <v>5</v>
      </c>
      <c r="F12" s="27">
        <f>COUNTIFS(Checklist!B:B,B12,Checklist!F:F,"Non-Compliant")</f>
        <v>0</v>
      </c>
      <c r="G12" s="27">
        <f>COUNTIFS(Checklist!B:B,B12,Checklist!F:F,"Partially")</f>
        <v>0</v>
      </c>
      <c r="H12" s="27">
        <f>COUNTIFS(Checklist!B:B,B12,Checklist!F:F,"N/A")</f>
        <v>0</v>
      </c>
    </row>
    <row r="13" spans="2:8" ht="34.799999999999997" customHeight="1" x14ac:dyDescent="0.3">
      <c r="B13" s="23" t="s">
        <v>46</v>
      </c>
      <c r="C13" s="24" t="s">
        <v>47</v>
      </c>
      <c r="D13" s="25">
        <f>COUNTIFS(Checklist!B:B,B13,Checklist!F:F,"&lt;&gt;")</f>
        <v>3</v>
      </c>
      <c r="E13" s="25">
        <f>COUNTIFS(Checklist!B:B,B13,Checklist!F:F,"Compliant")</f>
        <v>3</v>
      </c>
      <c r="F13" s="25">
        <f>COUNTIFS(Checklist!B:B,B13,Checklist!F:F,"Non-Compliant")</f>
        <v>0</v>
      </c>
      <c r="G13" s="25">
        <f>COUNTIFS(Checklist!B:B,B13,Checklist!F:F,"Partially")</f>
        <v>0</v>
      </c>
      <c r="H13" s="25">
        <f>COUNTIFS(Checklist!B:B,B13,Checklist!F:F,"N/A")</f>
        <v>0</v>
      </c>
    </row>
    <row r="14" spans="2:8" ht="33" customHeight="1" x14ac:dyDescent="0.3">
      <c r="B14" s="26" t="s">
        <v>48</v>
      </c>
      <c r="C14" s="18" t="s">
        <v>49</v>
      </c>
      <c r="D14" s="27">
        <f>COUNTIFS(Checklist!B:B,B14,Checklist!F:F,"&lt;&gt;")</f>
        <v>7</v>
      </c>
      <c r="E14" s="27">
        <f>COUNTIFS(Checklist!B:B,B14,Checklist!F:F,"Compliant")</f>
        <v>7</v>
      </c>
      <c r="F14" s="27">
        <f>COUNTIFS(Checklist!B:B,B14,Checklist!F:F,"Non-Compliant")</f>
        <v>0</v>
      </c>
      <c r="G14" s="27">
        <f>COUNTIFS(Checklist!B:B,B14,Checklist!F:F,"Partially")</f>
        <v>0</v>
      </c>
      <c r="H14" s="27">
        <f>COUNTIFS(Checklist!B:B,B14,Checklist!F:F,"N/A")</f>
        <v>0</v>
      </c>
    </row>
    <row r="15" spans="2:8" ht="21.75" customHeight="1" x14ac:dyDescent="0.3">
      <c r="B15" s="23" t="s">
        <v>50</v>
      </c>
      <c r="C15" s="24" t="s">
        <v>51</v>
      </c>
      <c r="D15" s="25">
        <f>COUNTIFS(Checklist!B:B,B15,Checklist!F:F,"&lt;&gt;")</f>
        <v>6</v>
      </c>
      <c r="E15" s="25">
        <f>COUNTIFS(Checklist!B:B,B15,Checklist!F:F,"Compliant")</f>
        <v>6</v>
      </c>
      <c r="F15" s="25">
        <f>COUNTIFS(Checklist!B:B,B15,Checklist!F:F,"Non-Compliant")</f>
        <v>0</v>
      </c>
      <c r="G15" s="25">
        <f>COUNTIFS(Checklist!B:B,B15,Checklist!F:F,"Partially")</f>
        <v>0</v>
      </c>
      <c r="H15" s="25">
        <f>COUNTIFS(Checklist!B:B,B15,Checklist!F:F,"N/A")</f>
        <v>0</v>
      </c>
    </row>
    <row r="16" spans="2:8" ht="33" customHeight="1" x14ac:dyDescent="0.3">
      <c r="B16" s="26" t="s">
        <v>52</v>
      </c>
      <c r="C16" s="18" t="s">
        <v>53</v>
      </c>
      <c r="D16" s="27">
        <f>COUNTIFS(Checklist!B:B,B16,Checklist!F:F,"&lt;&gt;")</f>
        <v>7</v>
      </c>
      <c r="E16" s="27">
        <f>COUNTIFS(Checklist!B:B,B16,Checklist!F:F,"Compliant")</f>
        <v>7</v>
      </c>
      <c r="F16" s="27">
        <f>COUNTIFS(Checklist!B:B,B16,Checklist!F:F,"Non-Compliant")</f>
        <v>0</v>
      </c>
      <c r="G16" s="27">
        <f>COUNTIFS(Checklist!B:B,B16,Checklist!F:F,"Partially")</f>
        <v>0</v>
      </c>
      <c r="H16" s="27">
        <f>COUNTIFS(Checklist!B:B,B16,Checklist!F:F,"N/A")</f>
        <v>0</v>
      </c>
    </row>
    <row r="17" spans="2:8" ht="21.75" customHeight="1" x14ac:dyDescent="0.3">
      <c r="B17" s="23" t="s">
        <v>54</v>
      </c>
      <c r="C17" s="24" t="s">
        <v>55</v>
      </c>
      <c r="D17" s="25">
        <f>COUNTIFS(Checklist!B:B,B17,Checklist!F:F,"&lt;&gt;")</f>
        <v>6</v>
      </c>
      <c r="E17" s="25">
        <f>COUNTIFS(Checklist!B:B,B17,Checklist!F:F,"Compliant")</f>
        <v>6</v>
      </c>
      <c r="F17" s="25">
        <f>COUNTIFS(Checklist!B:B,B17,Checklist!F:F,"Non-Compliant")</f>
        <v>0</v>
      </c>
      <c r="G17" s="25">
        <f>COUNTIFS(Checklist!B:B,B17,Checklist!F:F,"Partially")</f>
        <v>0</v>
      </c>
      <c r="H17" s="25">
        <f>COUNTIFS(Checklist!B:B,B17,Checklist!F:F,"N/A")</f>
        <v>0</v>
      </c>
    </row>
    <row r="18" spans="2:8" ht="34.799999999999997" customHeight="1" x14ac:dyDescent="0.3">
      <c r="B18" s="26" t="s">
        <v>56</v>
      </c>
      <c r="C18" s="18" t="s">
        <v>57</v>
      </c>
      <c r="D18" s="27">
        <f>COUNTIFS(Checklist!B:B,B18,Checklist!F:F,"&lt;&gt;")</f>
        <v>10</v>
      </c>
      <c r="E18" s="27">
        <f>COUNTIFS(Checklist!B:B,B18,Checklist!F:F,"Compliant")</f>
        <v>9</v>
      </c>
      <c r="F18" s="27">
        <f>COUNTIFS(Checklist!B:B,B18,Checklist!F:F,"Non-Compliant")</f>
        <v>0</v>
      </c>
      <c r="G18" s="27">
        <f>COUNTIFS(Checklist!B:B,B18,Checklist!F:F,"Partially")</f>
        <v>1</v>
      </c>
      <c r="H18" s="27">
        <f>COUNTIFS(Checklist!B:B,B18,Checklist!F:F,"N/A")</f>
        <v>0</v>
      </c>
    </row>
    <row r="19" spans="2:8" ht="24" customHeight="1" x14ac:dyDescent="0.3">
      <c r="B19" s="6" t="s">
        <v>58</v>
      </c>
      <c r="C19" s="6"/>
      <c r="D19" s="28">
        <f>SUM(D7:D18)</f>
        <v>67</v>
      </c>
      <c r="E19" s="28">
        <f>SUM(E7:E18)</f>
        <v>62</v>
      </c>
      <c r="F19" s="28">
        <f>SUM(F7:F18)</f>
        <v>1</v>
      </c>
      <c r="G19" s="28">
        <f>SUM(G7:G18)</f>
        <v>3</v>
      </c>
      <c r="H19" s="28">
        <f>SUM(H7:H18)</f>
        <v>1</v>
      </c>
    </row>
    <row r="20" spans="2:8" ht="24" customHeight="1" x14ac:dyDescent="0.3">
      <c r="B20" s="5" t="s">
        <v>59</v>
      </c>
      <c r="C20" s="5"/>
      <c r="D20" s="4">
        <f>IFERROR(D19/D19*100,0)</f>
        <v>100</v>
      </c>
      <c r="E20" s="4"/>
      <c r="F20" s="4"/>
      <c r="G20" s="4"/>
      <c r="H20" s="4"/>
    </row>
  </sheetData>
  <mergeCells count="5">
    <mergeCell ref="B2:H3"/>
    <mergeCell ref="B4:H4"/>
    <mergeCell ref="B19:C19"/>
    <mergeCell ref="B20:C20"/>
    <mergeCell ref="D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3"/>
  <sheetViews>
    <sheetView showGridLines="0" zoomScaleNormal="100" workbookViewId="0">
      <pane ySplit="3" topLeftCell="A48" activePane="bottomLeft" state="frozen"/>
      <selection pane="bottomLeft" activeCell="F81" sqref="F81"/>
    </sheetView>
  </sheetViews>
  <sheetFormatPr defaultColWidth="8.6640625" defaultRowHeight="14.4" x14ac:dyDescent="0.3"/>
  <cols>
    <col min="1" max="1" width="5" customWidth="1"/>
    <col min="2" max="2" width="6" customWidth="1"/>
    <col min="3" max="3" width="14" customWidth="1"/>
    <col min="4" max="4" width="55" customWidth="1"/>
    <col min="5" max="5" width="38" customWidth="1"/>
    <col min="6" max="6" width="16" customWidth="1"/>
    <col min="7" max="7" width="30" customWidth="1"/>
    <col min="8" max="8" width="22" customWidth="1"/>
    <col min="9" max="9" width="30" customWidth="1"/>
  </cols>
  <sheetData>
    <row r="1" spans="1:9" ht="31.5" customHeight="1" x14ac:dyDescent="0.3">
      <c r="A1" s="3" t="s">
        <v>60</v>
      </c>
      <c r="B1" s="3"/>
      <c r="C1" s="3"/>
      <c r="D1" s="3"/>
      <c r="E1" s="3"/>
      <c r="F1" s="3"/>
      <c r="G1" s="3"/>
      <c r="H1" s="3"/>
      <c r="I1" s="3"/>
    </row>
    <row r="2" spans="1:9" ht="18" customHeight="1" x14ac:dyDescent="0.3">
      <c r="A2" s="2" t="s">
        <v>291</v>
      </c>
      <c r="B2" s="2"/>
      <c r="C2" s="2"/>
      <c r="D2" s="2"/>
      <c r="E2" s="2"/>
      <c r="F2" s="2"/>
      <c r="G2" s="2"/>
      <c r="H2" s="2"/>
      <c r="I2" s="2"/>
    </row>
    <row r="3" spans="1:9" ht="30" customHeight="1" x14ac:dyDescent="0.3">
      <c r="A3" s="22" t="s">
        <v>31</v>
      </c>
      <c r="B3" s="22" t="s">
        <v>61</v>
      </c>
      <c r="C3" s="22" t="s">
        <v>62</v>
      </c>
      <c r="D3" s="22" t="s">
        <v>63</v>
      </c>
      <c r="E3" s="40" t="s">
        <v>294</v>
      </c>
      <c r="F3" s="22" t="s">
        <v>64</v>
      </c>
      <c r="G3" s="22" t="s">
        <v>65</v>
      </c>
      <c r="H3" s="22" t="s">
        <v>66</v>
      </c>
      <c r="I3" s="22" t="s">
        <v>67</v>
      </c>
    </row>
    <row r="4" spans="1:9" ht="25.5" customHeight="1" x14ac:dyDescent="0.3">
      <c r="A4" s="1" t="s">
        <v>68</v>
      </c>
      <c r="B4" s="1"/>
      <c r="C4" s="1"/>
      <c r="D4" s="1"/>
      <c r="E4" s="1"/>
      <c r="F4" s="1"/>
      <c r="G4" s="1"/>
      <c r="H4" s="1"/>
      <c r="I4" s="1"/>
    </row>
    <row r="5" spans="1:9" ht="42" customHeight="1" x14ac:dyDescent="0.3">
      <c r="A5" s="29">
        <v>1</v>
      </c>
      <c r="B5" s="30" t="s">
        <v>34</v>
      </c>
      <c r="C5" s="30" t="s">
        <v>69</v>
      </c>
      <c r="D5" s="18" t="s">
        <v>70</v>
      </c>
      <c r="E5" s="18" t="s">
        <v>71</v>
      </c>
      <c r="F5" s="26" t="s">
        <v>19</v>
      </c>
      <c r="G5" s="18"/>
      <c r="H5" s="18" t="s">
        <v>72</v>
      </c>
      <c r="I5" s="18"/>
    </row>
    <row r="6" spans="1:9" ht="42" customHeight="1" x14ac:dyDescent="0.3">
      <c r="A6" s="31">
        <v>2</v>
      </c>
      <c r="B6" s="32" t="s">
        <v>34</v>
      </c>
      <c r="C6" s="32" t="s">
        <v>73</v>
      </c>
      <c r="D6" s="24" t="s">
        <v>74</v>
      </c>
      <c r="E6" s="24" t="s">
        <v>292</v>
      </c>
      <c r="F6" s="23" t="s">
        <v>19</v>
      </c>
      <c r="G6" s="24"/>
      <c r="H6" s="24" t="s">
        <v>72</v>
      </c>
      <c r="I6" s="24"/>
    </row>
    <row r="7" spans="1:9" ht="42" customHeight="1" x14ac:dyDescent="0.3">
      <c r="A7" s="29">
        <v>3</v>
      </c>
      <c r="B7" s="30" t="s">
        <v>34</v>
      </c>
      <c r="C7" s="30" t="s">
        <v>75</v>
      </c>
      <c r="D7" s="18" t="s">
        <v>76</v>
      </c>
      <c r="E7" s="18" t="s">
        <v>77</v>
      </c>
      <c r="F7" s="26" t="s">
        <v>19</v>
      </c>
      <c r="G7" s="18"/>
      <c r="H7" s="18" t="s">
        <v>72</v>
      </c>
      <c r="I7" s="18"/>
    </row>
    <row r="8" spans="1:9" ht="42" customHeight="1" x14ac:dyDescent="0.3">
      <c r="A8" s="31">
        <v>4</v>
      </c>
      <c r="B8" s="32" t="s">
        <v>34</v>
      </c>
      <c r="C8" s="32" t="s">
        <v>78</v>
      </c>
      <c r="D8" s="24" t="s">
        <v>79</v>
      </c>
      <c r="E8" s="24" t="s">
        <v>80</v>
      </c>
      <c r="F8" s="23" t="s">
        <v>19</v>
      </c>
      <c r="G8" s="24"/>
      <c r="H8" s="24" t="s">
        <v>72</v>
      </c>
      <c r="I8" s="24"/>
    </row>
    <row r="9" spans="1:9" ht="42" customHeight="1" x14ac:dyDescent="0.3">
      <c r="A9" s="29">
        <v>5</v>
      </c>
      <c r="B9" s="30" t="s">
        <v>34</v>
      </c>
      <c r="C9" s="30" t="s">
        <v>81</v>
      </c>
      <c r="D9" s="18" t="s">
        <v>82</v>
      </c>
      <c r="E9" s="18" t="s">
        <v>83</v>
      </c>
      <c r="F9" s="26" t="s">
        <v>19</v>
      </c>
      <c r="G9" s="18"/>
      <c r="H9" s="18" t="s">
        <v>72</v>
      </c>
      <c r="I9" s="18"/>
    </row>
    <row r="10" spans="1:9" ht="25.5" customHeight="1" x14ac:dyDescent="0.3">
      <c r="A10" s="1" t="s">
        <v>84</v>
      </c>
      <c r="B10" s="1"/>
      <c r="C10" s="1"/>
      <c r="D10" s="1"/>
      <c r="E10" s="1"/>
      <c r="F10" s="1"/>
      <c r="G10" s="1"/>
      <c r="H10" s="1"/>
      <c r="I10" s="1"/>
    </row>
    <row r="11" spans="1:9" ht="42" customHeight="1" x14ac:dyDescent="0.3">
      <c r="A11" s="31">
        <v>6</v>
      </c>
      <c r="B11" s="32" t="s">
        <v>36</v>
      </c>
      <c r="C11" s="32" t="s">
        <v>85</v>
      </c>
      <c r="D11" s="24" t="s">
        <v>86</v>
      </c>
      <c r="E11" s="24" t="s">
        <v>87</v>
      </c>
      <c r="F11" s="23" t="s">
        <v>19</v>
      </c>
      <c r="G11" s="24"/>
      <c r="H11" s="24" t="s">
        <v>88</v>
      </c>
      <c r="I11" s="24"/>
    </row>
    <row r="12" spans="1:9" ht="42" customHeight="1" x14ac:dyDescent="0.3">
      <c r="A12" s="29">
        <v>7</v>
      </c>
      <c r="B12" s="30" t="s">
        <v>36</v>
      </c>
      <c r="C12" s="30" t="s">
        <v>89</v>
      </c>
      <c r="D12" s="18" t="s">
        <v>90</v>
      </c>
      <c r="E12" s="18" t="s">
        <v>91</v>
      </c>
      <c r="F12" s="26" t="s">
        <v>19</v>
      </c>
      <c r="G12" s="18"/>
      <c r="H12" s="18" t="s">
        <v>72</v>
      </c>
      <c r="I12" s="18"/>
    </row>
    <row r="13" spans="1:9" ht="42" customHeight="1" x14ac:dyDescent="0.3">
      <c r="A13" s="31">
        <v>8</v>
      </c>
      <c r="B13" s="32" t="s">
        <v>36</v>
      </c>
      <c r="C13" s="32" t="s">
        <v>92</v>
      </c>
      <c r="D13" s="24" t="s">
        <v>93</v>
      </c>
      <c r="E13" s="24" t="s">
        <v>94</v>
      </c>
      <c r="F13" s="23" t="s">
        <v>19</v>
      </c>
      <c r="G13" s="24"/>
      <c r="H13" s="24" t="s">
        <v>72</v>
      </c>
      <c r="I13" s="24"/>
    </row>
    <row r="14" spans="1:9" ht="42" customHeight="1" x14ac:dyDescent="0.3">
      <c r="A14" s="29">
        <v>9</v>
      </c>
      <c r="B14" s="30" t="s">
        <v>36</v>
      </c>
      <c r="C14" s="30" t="s">
        <v>95</v>
      </c>
      <c r="D14" s="18" t="s">
        <v>96</v>
      </c>
      <c r="E14" s="18" t="s">
        <v>97</v>
      </c>
      <c r="F14" s="26" t="s">
        <v>19</v>
      </c>
      <c r="G14" s="18"/>
      <c r="H14" s="18" t="s">
        <v>98</v>
      </c>
      <c r="I14" s="18"/>
    </row>
    <row r="15" spans="1:9" ht="25.5" customHeight="1" x14ac:dyDescent="0.3">
      <c r="A15" s="1" t="s">
        <v>99</v>
      </c>
      <c r="B15" s="1"/>
      <c r="C15" s="1"/>
      <c r="D15" s="1"/>
      <c r="E15" s="1"/>
      <c r="F15" s="1"/>
      <c r="G15" s="1"/>
      <c r="H15" s="1"/>
      <c r="I15" s="1"/>
    </row>
    <row r="16" spans="1:9" ht="42" customHeight="1" x14ac:dyDescent="0.3">
      <c r="A16" s="31">
        <v>10</v>
      </c>
      <c r="B16" s="32" t="s">
        <v>38</v>
      </c>
      <c r="C16" s="32" t="s">
        <v>100</v>
      </c>
      <c r="D16" s="24" t="s">
        <v>101</v>
      </c>
      <c r="E16" s="24" t="s">
        <v>102</v>
      </c>
      <c r="F16" s="23" t="s">
        <v>19</v>
      </c>
      <c r="G16" s="24"/>
      <c r="H16" s="24" t="s">
        <v>103</v>
      </c>
      <c r="I16" s="24"/>
    </row>
    <row r="17" spans="1:9" ht="42" customHeight="1" x14ac:dyDescent="0.3">
      <c r="A17" s="29">
        <v>11</v>
      </c>
      <c r="B17" s="30" t="s">
        <v>38</v>
      </c>
      <c r="C17" s="30" t="s">
        <v>104</v>
      </c>
      <c r="D17" s="18" t="s">
        <v>105</v>
      </c>
      <c r="E17" s="18" t="s">
        <v>106</v>
      </c>
      <c r="F17" s="26" t="s">
        <v>23</v>
      </c>
      <c r="G17" s="18"/>
      <c r="H17" s="18" t="s">
        <v>103</v>
      </c>
      <c r="I17" s="35">
        <v>46132</v>
      </c>
    </row>
    <row r="18" spans="1:9" ht="42" customHeight="1" x14ac:dyDescent="0.3">
      <c r="A18" s="31">
        <v>12</v>
      </c>
      <c r="B18" s="32" t="s">
        <v>38</v>
      </c>
      <c r="C18" s="32" t="s">
        <v>107</v>
      </c>
      <c r="D18" s="24" t="s">
        <v>108</v>
      </c>
      <c r="E18" s="24" t="s">
        <v>109</v>
      </c>
      <c r="F18" s="23" t="s">
        <v>21</v>
      </c>
      <c r="G18" s="24"/>
      <c r="H18" s="24" t="s">
        <v>103</v>
      </c>
      <c r="I18" s="36">
        <v>46132</v>
      </c>
    </row>
    <row r="19" spans="1:9" ht="42" customHeight="1" x14ac:dyDescent="0.3">
      <c r="A19" s="29">
        <v>13</v>
      </c>
      <c r="B19" s="30" t="s">
        <v>38</v>
      </c>
      <c r="C19" s="30" t="s">
        <v>110</v>
      </c>
      <c r="D19" s="18" t="s">
        <v>111</v>
      </c>
      <c r="E19" s="18" t="s">
        <v>112</v>
      </c>
      <c r="F19" s="26" t="s">
        <v>19</v>
      </c>
      <c r="G19" s="18"/>
      <c r="H19" s="18" t="s">
        <v>103</v>
      </c>
      <c r="I19" s="18"/>
    </row>
    <row r="20" spans="1:9" ht="42" customHeight="1" x14ac:dyDescent="0.3">
      <c r="A20" s="31">
        <v>14</v>
      </c>
      <c r="B20" s="32" t="s">
        <v>38</v>
      </c>
      <c r="C20" s="32" t="s">
        <v>113</v>
      </c>
      <c r="D20" s="24" t="s">
        <v>114</v>
      </c>
      <c r="E20" s="37" t="s">
        <v>115</v>
      </c>
      <c r="F20" s="38" t="s">
        <v>19</v>
      </c>
      <c r="G20" s="24"/>
      <c r="H20" s="24" t="s">
        <v>103</v>
      </c>
      <c r="I20" s="24"/>
    </row>
    <row r="21" spans="1:9" ht="42" customHeight="1" x14ac:dyDescent="0.3">
      <c r="A21" s="29">
        <v>15</v>
      </c>
      <c r="B21" s="30" t="s">
        <v>38</v>
      </c>
      <c r="C21" s="30" t="s">
        <v>116</v>
      </c>
      <c r="D21" s="18" t="s">
        <v>117</v>
      </c>
      <c r="E21" s="18" t="s">
        <v>118</v>
      </c>
      <c r="F21" s="26" t="s">
        <v>19</v>
      </c>
      <c r="G21" s="18"/>
      <c r="H21" s="18" t="s">
        <v>119</v>
      </c>
      <c r="I21" s="18"/>
    </row>
    <row r="22" spans="1:9" ht="42" customHeight="1" x14ac:dyDescent="0.3">
      <c r="A22" s="31">
        <v>16</v>
      </c>
      <c r="B22" s="32" t="s">
        <v>38</v>
      </c>
      <c r="C22" s="32" t="s">
        <v>120</v>
      </c>
      <c r="D22" s="24" t="s">
        <v>121</v>
      </c>
      <c r="E22" s="24" t="s">
        <v>122</v>
      </c>
      <c r="F22" s="23" t="s">
        <v>19</v>
      </c>
      <c r="G22" s="24"/>
      <c r="H22" s="24" t="s">
        <v>123</v>
      </c>
      <c r="I22" s="24"/>
    </row>
    <row r="23" spans="1:9" ht="25.5" customHeight="1" x14ac:dyDescent="0.3">
      <c r="A23" s="1" t="s">
        <v>124</v>
      </c>
      <c r="B23" s="1"/>
      <c r="C23" s="1"/>
      <c r="D23" s="1"/>
      <c r="E23" s="1"/>
      <c r="F23" s="1"/>
      <c r="G23" s="1"/>
      <c r="H23" s="1"/>
      <c r="I23" s="1"/>
    </row>
    <row r="24" spans="1:9" ht="42" customHeight="1" x14ac:dyDescent="0.3">
      <c r="A24" s="29">
        <v>17</v>
      </c>
      <c r="B24" s="30" t="s">
        <v>40</v>
      </c>
      <c r="C24" s="30" t="s">
        <v>125</v>
      </c>
      <c r="D24" s="18" t="s">
        <v>126</v>
      </c>
      <c r="E24" s="18" t="s">
        <v>127</v>
      </c>
      <c r="F24" s="26" t="s">
        <v>23</v>
      </c>
      <c r="G24" s="39" t="s">
        <v>293</v>
      </c>
      <c r="H24" s="18" t="s">
        <v>72</v>
      </c>
      <c r="I24" s="18"/>
    </row>
    <row r="25" spans="1:9" ht="42" customHeight="1" x14ac:dyDescent="0.3">
      <c r="A25" s="31">
        <v>18</v>
      </c>
      <c r="B25" s="32" t="s">
        <v>40</v>
      </c>
      <c r="C25" s="32" t="s">
        <v>128</v>
      </c>
      <c r="D25" s="24" t="s">
        <v>129</v>
      </c>
      <c r="E25" s="24" t="s">
        <v>130</v>
      </c>
      <c r="F25" s="23" t="s">
        <v>19</v>
      </c>
      <c r="G25" s="24"/>
      <c r="H25" s="24" t="s">
        <v>72</v>
      </c>
      <c r="I25" s="24"/>
    </row>
    <row r="26" spans="1:9" ht="42" customHeight="1" x14ac:dyDescent="0.3">
      <c r="A26" s="29">
        <v>19</v>
      </c>
      <c r="B26" s="30" t="s">
        <v>40</v>
      </c>
      <c r="C26" s="30" t="s">
        <v>131</v>
      </c>
      <c r="D26" s="18" t="s">
        <v>132</v>
      </c>
      <c r="E26" s="18" t="s">
        <v>133</v>
      </c>
      <c r="F26" s="26" t="s">
        <v>25</v>
      </c>
      <c r="G26" s="18"/>
      <c r="H26" s="18" t="s">
        <v>72</v>
      </c>
      <c r="I26" s="18"/>
    </row>
    <row r="27" spans="1:9" ht="25.5" customHeight="1" x14ac:dyDescent="0.3">
      <c r="A27" s="1" t="s">
        <v>134</v>
      </c>
      <c r="B27" s="1"/>
      <c r="C27" s="1"/>
      <c r="D27" s="1"/>
      <c r="E27" s="1"/>
      <c r="F27" s="1"/>
      <c r="G27" s="1"/>
      <c r="H27" s="1"/>
      <c r="I27" s="1"/>
    </row>
    <row r="28" spans="1:9" ht="42" customHeight="1" x14ac:dyDescent="0.3">
      <c r="A28" s="31">
        <v>20</v>
      </c>
      <c r="B28" s="32" t="s">
        <v>42</v>
      </c>
      <c r="C28" s="32" t="s">
        <v>135</v>
      </c>
      <c r="D28" s="24" t="s">
        <v>136</v>
      </c>
      <c r="E28" s="24" t="s">
        <v>137</v>
      </c>
      <c r="F28" s="23" t="s">
        <v>19</v>
      </c>
      <c r="G28" s="24"/>
      <c r="H28" s="24" t="s">
        <v>88</v>
      </c>
      <c r="I28" s="24"/>
    </row>
    <row r="29" spans="1:9" ht="42" customHeight="1" x14ac:dyDescent="0.3">
      <c r="A29" s="29">
        <v>21</v>
      </c>
      <c r="B29" s="30" t="s">
        <v>42</v>
      </c>
      <c r="C29" s="30" t="s">
        <v>138</v>
      </c>
      <c r="D29" s="18" t="s">
        <v>139</v>
      </c>
      <c r="E29" s="18" t="s">
        <v>140</v>
      </c>
      <c r="F29" s="26" t="s">
        <v>19</v>
      </c>
      <c r="G29" s="18"/>
      <c r="H29" s="18" t="s">
        <v>141</v>
      </c>
      <c r="I29" s="18"/>
    </row>
    <row r="30" spans="1:9" ht="42" customHeight="1" x14ac:dyDescent="0.3">
      <c r="A30" s="31">
        <v>22</v>
      </c>
      <c r="B30" s="32" t="s">
        <v>42</v>
      </c>
      <c r="C30" s="32" t="s">
        <v>142</v>
      </c>
      <c r="D30" s="24" t="s">
        <v>143</v>
      </c>
      <c r="E30" s="24" t="s">
        <v>144</v>
      </c>
      <c r="F30" s="23" t="s">
        <v>19</v>
      </c>
      <c r="G30" s="24"/>
      <c r="H30" s="24" t="s">
        <v>141</v>
      </c>
      <c r="I30" s="24"/>
    </row>
    <row r="31" spans="1:9" ht="42" customHeight="1" x14ac:dyDescent="0.3">
      <c r="A31" s="29">
        <v>23</v>
      </c>
      <c r="B31" s="30" t="s">
        <v>42</v>
      </c>
      <c r="C31" s="30" t="s">
        <v>145</v>
      </c>
      <c r="D31" s="18" t="s">
        <v>146</v>
      </c>
      <c r="E31" s="18" t="s">
        <v>147</v>
      </c>
      <c r="F31" s="26" t="s">
        <v>19</v>
      </c>
      <c r="G31" s="18"/>
      <c r="H31" s="18" t="s">
        <v>88</v>
      </c>
      <c r="I31" s="18"/>
    </row>
    <row r="32" spans="1:9" ht="25.5" customHeight="1" x14ac:dyDescent="0.3">
      <c r="A32" s="1" t="s">
        <v>148</v>
      </c>
      <c r="B32" s="1"/>
      <c r="C32" s="1"/>
      <c r="D32" s="1"/>
      <c r="E32" s="1"/>
      <c r="F32" s="1"/>
      <c r="G32" s="1"/>
      <c r="H32" s="1"/>
      <c r="I32" s="1"/>
    </row>
    <row r="33" spans="1:9" ht="42" customHeight="1" x14ac:dyDescent="0.3">
      <c r="A33" s="31">
        <v>24</v>
      </c>
      <c r="B33" s="32" t="s">
        <v>44</v>
      </c>
      <c r="C33" s="32" t="s">
        <v>149</v>
      </c>
      <c r="D33" s="24" t="s">
        <v>150</v>
      </c>
      <c r="E33" s="24" t="s">
        <v>151</v>
      </c>
      <c r="F33" s="23" t="s">
        <v>19</v>
      </c>
      <c r="G33" s="24"/>
      <c r="H33" s="24" t="s">
        <v>88</v>
      </c>
      <c r="I33" s="24"/>
    </row>
    <row r="34" spans="1:9" ht="42" customHeight="1" x14ac:dyDescent="0.3">
      <c r="A34" s="29">
        <v>25</v>
      </c>
      <c r="B34" s="30" t="s">
        <v>44</v>
      </c>
      <c r="C34" s="30" t="s">
        <v>152</v>
      </c>
      <c r="D34" s="18" t="s">
        <v>153</v>
      </c>
      <c r="E34" s="18" t="s">
        <v>154</v>
      </c>
      <c r="F34" s="26" t="s">
        <v>19</v>
      </c>
      <c r="G34" s="18"/>
      <c r="H34" s="18" t="s">
        <v>155</v>
      </c>
      <c r="I34" s="18"/>
    </row>
    <row r="35" spans="1:9" ht="42" customHeight="1" x14ac:dyDescent="0.3">
      <c r="A35" s="31">
        <v>26</v>
      </c>
      <c r="B35" s="32" t="s">
        <v>44</v>
      </c>
      <c r="C35" s="32" t="s">
        <v>156</v>
      </c>
      <c r="D35" s="24" t="s">
        <v>157</v>
      </c>
      <c r="E35" s="24" t="s">
        <v>158</v>
      </c>
      <c r="F35" s="23" t="s">
        <v>19</v>
      </c>
      <c r="G35" s="24"/>
      <c r="H35" s="24" t="s">
        <v>159</v>
      </c>
      <c r="I35" s="24"/>
    </row>
    <row r="36" spans="1:9" ht="42" customHeight="1" x14ac:dyDescent="0.3">
      <c r="A36" s="29">
        <v>27</v>
      </c>
      <c r="B36" s="30" t="s">
        <v>44</v>
      </c>
      <c r="C36" s="30" t="s">
        <v>160</v>
      </c>
      <c r="D36" s="18" t="s">
        <v>161</v>
      </c>
      <c r="E36" s="18" t="s">
        <v>162</v>
      </c>
      <c r="F36" s="26" t="s">
        <v>19</v>
      </c>
      <c r="G36" s="18"/>
      <c r="H36" s="18" t="s">
        <v>72</v>
      </c>
      <c r="I36" s="18"/>
    </row>
    <row r="37" spans="1:9" ht="42" customHeight="1" x14ac:dyDescent="0.3">
      <c r="A37" s="31">
        <v>28</v>
      </c>
      <c r="B37" s="32" t="s">
        <v>44</v>
      </c>
      <c r="C37" s="32" t="s">
        <v>163</v>
      </c>
      <c r="D37" s="24" t="s">
        <v>164</v>
      </c>
      <c r="E37" s="24" t="s">
        <v>165</v>
      </c>
      <c r="F37" s="23" t="s">
        <v>19</v>
      </c>
      <c r="G37" s="24"/>
      <c r="H37" s="24" t="s">
        <v>72</v>
      </c>
      <c r="I37" s="24"/>
    </row>
    <row r="38" spans="1:9" ht="25.5" customHeight="1" x14ac:dyDescent="0.3">
      <c r="A38" s="1" t="s">
        <v>166</v>
      </c>
      <c r="B38" s="1"/>
      <c r="C38" s="1"/>
      <c r="D38" s="1"/>
      <c r="E38" s="1"/>
      <c r="F38" s="1"/>
      <c r="G38" s="1"/>
      <c r="H38" s="1"/>
      <c r="I38" s="1"/>
    </row>
    <row r="39" spans="1:9" ht="42" customHeight="1" x14ac:dyDescent="0.3">
      <c r="A39" s="29">
        <v>29</v>
      </c>
      <c r="B39" s="30" t="s">
        <v>46</v>
      </c>
      <c r="C39" s="30" t="s">
        <v>167</v>
      </c>
      <c r="D39" s="18" t="s">
        <v>168</v>
      </c>
      <c r="E39" s="18" t="s">
        <v>169</v>
      </c>
      <c r="F39" s="26" t="s">
        <v>19</v>
      </c>
      <c r="G39" s="18"/>
      <c r="H39" s="18" t="s">
        <v>98</v>
      </c>
      <c r="I39" s="18"/>
    </row>
    <row r="40" spans="1:9" ht="42" customHeight="1" x14ac:dyDescent="0.3">
      <c r="A40" s="31">
        <v>30</v>
      </c>
      <c r="B40" s="32" t="s">
        <v>46</v>
      </c>
      <c r="C40" s="32" t="s">
        <v>170</v>
      </c>
      <c r="D40" s="24" t="s">
        <v>171</v>
      </c>
      <c r="E40" s="24" t="s">
        <v>172</v>
      </c>
      <c r="F40" s="23" t="s">
        <v>19</v>
      </c>
      <c r="G40" s="24"/>
      <c r="H40" s="24" t="s">
        <v>98</v>
      </c>
      <c r="I40" s="24"/>
    </row>
    <row r="41" spans="1:9" ht="42" customHeight="1" x14ac:dyDescent="0.3">
      <c r="A41" s="29">
        <v>31</v>
      </c>
      <c r="B41" s="30" t="s">
        <v>46</v>
      </c>
      <c r="C41" s="30" t="s">
        <v>173</v>
      </c>
      <c r="D41" s="18" t="s">
        <v>174</v>
      </c>
      <c r="E41" s="18" t="s">
        <v>175</v>
      </c>
      <c r="F41" s="26" t="s">
        <v>19</v>
      </c>
      <c r="G41" s="18"/>
      <c r="H41" s="18" t="s">
        <v>159</v>
      </c>
      <c r="I41" s="18"/>
    </row>
    <row r="42" spans="1:9" ht="25.5" customHeight="1" x14ac:dyDescent="0.3">
      <c r="A42" s="1" t="s">
        <v>176</v>
      </c>
      <c r="B42" s="1"/>
      <c r="C42" s="1"/>
      <c r="D42" s="1"/>
      <c r="E42" s="1"/>
      <c r="F42" s="1"/>
      <c r="G42" s="1"/>
      <c r="H42" s="1"/>
      <c r="I42" s="1"/>
    </row>
    <row r="43" spans="1:9" ht="42" customHeight="1" x14ac:dyDescent="0.3">
      <c r="A43" s="31">
        <v>32</v>
      </c>
      <c r="B43" s="32" t="s">
        <v>48</v>
      </c>
      <c r="C43" s="32" t="s">
        <v>177</v>
      </c>
      <c r="D43" s="24" t="s">
        <v>178</v>
      </c>
      <c r="E43" s="24" t="s">
        <v>179</v>
      </c>
      <c r="F43" s="23" t="s">
        <v>19</v>
      </c>
      <c r="G43" s="24"/>
      <c r="H43" s="24" t="s">
        <v>98</v>
      </c>
      <c r="I43" s="24"/>
    </row>
    <row r="44" spans="1:9" ht="42" customHeight="1" x14ac:dyDescent="0.3">
      <c r="A44" s="29">
        <v>33</v>
      </c>
      <c r="B44" s="30" t="s">
        <v>48</v>
      </c>
      <c r="C44" s="30" t="s">
        <v>180</v>
      </c>
      <c r="D44" s="18" t="s">
        <v>181</v>
      </c>
      <c r="E44" s="18" t="s">
        <v>182</v>
      </c>
      <c r="F44" s="26" t="s">
        <v>19</v>
      </c>
      <c r="G44" s="18"/>
      <c r="H44" s="18" t="s">
        <v>98</v>
      </c>
      <c r="I44" s="18"/>
    </row>
    <row r="45" spans="1:9" ht="42" customHeight="1" x14ac:dyDescent="0.3">
      <c r="A45" s="31">
        <v>34</v>
      </c>
      <c r="B45" s="32" t="s">
        <v>48</v>
      </c>
      <c r="C45" s="32" t="s">
        <v>183</v>
      </c>
      <c r="D45" s="24" t="s">
        <v>184</v>
      </c>
      <c r="E45" s="24" t="s">
        <v>185</v>
      </c>
      <c r="F45" s="23" t="s">
        <v>19</v>
      </c>
      <c r="G45" s="24"/>
      <c r="H45" s="24" t="s">
        <v>88</v>
      </c>
      <c r="I45" s="24"/>
    </row>
    <row r="46" spans="1:9" ht="42" customHeight="1" x14ac:dyDescent="0.3">
      <c r="A46" s="29">
        <v>35</v>
      </c>
      <c r="B46" s="30" t="s">
        <v>48</v>
      </c>
      <c r="C46" s="30" t="s">
        <v>186</v>
      </c>
      <c r="D46" s="18" t="s">
        <v>187</v>
      </c>
      <c r="E46" s="18" t="s">
        <v>188</v>
      </c>
      <c r="F46" s="26" t="s">
        <v>19</v>
      </c>
      <c r="G46" s="18"/>
      <c r="H46" s="18" t="s">
        <v>88</v>
      </c>
      <c r="I46" s="18"/>
    </row>
    <row r="47" spans="1:9" ht="42" customHeight="1" x14ac:dyDescent="0.3">
      <c r="A47" s="31">
        <v>36</v>
      </c>
      <c r="B47" s="32" t="s">
        <v>48</v>
      </c>
      <c r="C47" s="32" t="s">
        <v>189</v>
      </c>
      <c r="D47" s="24" t="s">
        <v>190</v>
      </c>
      <c r="E47" s="24" t="s">
        <v>191</v>
      </c>
      <c r="F47" s="23" t="s">
        <v>19</v>
      </c>
      <c r="G47" s="24"/>
      <c r="H47" s="24" t="s">
        <v>88</v>
      </c>
      <c r="I47" s="24"/>
    </row>
    <row r="48" spans="1:9" ht="42" customHeight="1" x14ac:dyDescent="0.3">
      <c r="A48" s="29">
        <v>37</v>
      </c>
      <c r="B48" s="30" t="s">
        <v>48</v>
      </c>
      <c r="C48" s="30" t="s">
        <v>192</v>
      </c>
      <c r="D48" s="18" t="s">
        <v>193</v>
      </c>
      <c r="E48" s="18" t="s">
        <v>194</v>
      </c>
      <c r="F48" s="26" t="s">
        <v>19</v>
      </c>
      <c r="G48" s="18"/>
      <c r="H48" s="18" t="s">
        <v>159</v>
      </c>
      <c r="I48" s="18"/>
    </row>
    <row r="49" spans="1:9" ht="42" customHeight="1" x14ac:dyDescent="0.3">
      <c r="A49" s="31">
        <v>38</v>
      </c>
      <c r="B49" s="32" t="s">
        <v>48</v>
      </c>
      <c r="C49" s="32" t="s">
        <v>195</v>
      </c>
      <c r="D49" s="24" t="s">
        <v>196</v>
      </c>
      <c r="E49" s="24" t="s">
        <v>197</v>
      </c>
      <c r="F49" s="23" t="s">
        <v>19</v>
      </c>
      <c r="G49" s="24"/>
      <c r="H49" s="24" t="s">
        <v>103</v>
      </c>
      <c r="I49" s="24"/>
    </row>
    <row r="50" spans="1:9" ht="1.2" customHeight="1" x14ac:dyDescent="0.3">
      <c r="A50" s="29"/>
      <c r="B50" s="30"/>
      <c r="C50" s="30"/>
      <c r="D50" s="39"/>
      <c r="E50" s="18"/>
      <c r="F50" s="26"/>
      <c r="G50" s="18"/>
      <c r="H50" s="18"/>
      <c r="I50" s="18"/>
    </row>
    <row r="51" spans="1:9" ht="25.5" customHeight="1" x14ac:dyDescent="0.3">
      <c r="A51" s="1" t="s">
        <v>198</v>
      </c>
      <c r="B51" s="1"/>
      <c r="C51" s="1"/>
      <c r="D51" s="1"/>
      <c r="E51" s="1"/>
      <c r="F51" s="1"/>
      <c r="G51" s="1"/>
      <c r="H51" s="1"/>
      <c r="I51" s="1"/>
    </row>
    <row r="52" spans="1:9" ht="42" customHeight="1" x14ac:dyDescent="0.3">
      <c r="A52" s="31">
        <v>40</v>
      </c>
      <c r="B52" s="32" t="s">
        <v>50</v>
      </c>
      <c r="C52" s="32" t="s">
        <v>199</v>
      </c>
      <c r="D52" s="24" t="s">
        <v>200</v>
      </c>
      <c r="E52" s="24" t="s">
        <v>201</v>
      </c>
      <c r="F52" s="23" t="s">
        <v>19</v>
      </c>
      <c r="G52" s="24"/>
      <c r="H52" s="24" t="s">
        <v>72</v>
      </c>
      <c r="I52" s="24"/>
    </row>
    <row r="53" spans="1:9" ht="42" customHeight="1" x14ac:dyDescent="0.3">
      <c r="A53" s="29">
        <v>41</v>
      </c>
      <c r="B53" s="30" t="s">
        <v>50</v>
      </c>
      <c r="C53" s="30" t="s">
        <v>202</v>
      </c>
      <c r="D53" s="18" t="s">
        <v>203</v>
      </c>
      <c r="E53" s="18" t="s">
        <v>204</v>
      </c>
      <c r="F53" s="26" t="s">
        <v>19</v>
      </c>
      <c r="G53" s="18"/>
      <c r="H53" s="18" t="s">
        <v>72</v>
      </c>
      <c r="I53" s="18"/>
    </row>
    <row r="54" spans="1:9" ht="42" customHeight="1" x14ac:dyDescent="0.3">
      <c r="A54" s="31">
        <v>42</v>
      </c>
      <c r="B54" s="32" t="s">
        <v>50</v>
      </c>
      <c r="C54" s="32" t="s">
        <v>205</v>
      </c>
      <c r="D54" s="24" t="s">
        <v>206</v>
      </c>
      <c r="E54" s="24" t="s">
        <v>207</v>
      </c>
      <c r="F54" s="23" t="s">
        <v>19</v>
      </c>
      <c r="G54" s="24"/>
      <c r="H54" s="24" t="s">
        <v>72</v>
      </c>
      <c r="I54" s="24"/>
    </row>
    <row r="55" spans="1:9" ht="42" customHeight="1" x14ac:dyDescent="0.3">
      <c r="A55" s="29">
        <v>43</v>
      </c>
      <c r="B55" s="30" t="s">
        <v>50</v>
      </c>
      <c r="C55" s="30" t="s">
        <v>208</v>
      </c>
      <c r="D55" s="18" t="s">
        <v>209</v>
      </c>
      <c r="E55" s="18" t="s">
        <v>210</v>
      </c>
      <c r="F55" s="26" t="s">
        <v>19</v>
      </c>
      <c r="G55" s="18"/>
      <c r="H55" s="18" t="s">
        <v>103</v>
      </c>
      <c r="I55" s="18"/>
    </row>
    <row r="56" spans="1:9" ht="42" customHeight="1" x14ac:dyDescent="0.3">
      <c r="A56" s="31">
        <v>44</v>
      </c>
      <c r="B56" s="32" t="s">
        <v>50</v>
      </c>
      <c r="C56" s="32" t="s">
        <v>211</v>
      </c>
      <c r="D56" s="24" t="s">
        <v>212</v>
      </c>
      <c r="E56" s="24" t="s">
        <v>213</v>
      </c>
      <c r="F56" s="23" t="s">
        <v>19</v>
      </c>
      <c r="G56" s="24"/>
      <c r="H56" s="24" t="s">
        <v>119</v>
      </c>
      <c r="I56" s="24"/>
    </row>
    <row r="57" spans="1:9" ht="42" customHeight="1" x14ac:dyDescent="0.3">
      <c r="A57" s="29">
        <v>45</v>
      </c>
      <c r="B57" s="30" t="s">
        <v>50</v>
      </c>
      <c r="C57" s="30" t="s">
        <v>214</v>
      </c>
      <c r="D57" s="18" t="s">
        <v>215</v>
      </c>
      <c r="E57" s="18" t="s">
        <v>216</v>
      </c>
      <c r="F57" s="26" t="s">
        <v>19</v>
      </c>
      <c r="G57" s="18"/>
      <c r="H57" s="18" t="s">
        <v>98</v>
      </c>
      <c r="I57" s="18"/>
    </row>
    <row r="58" spans="1:9" ht="25.5" customHeight="1" x14ac:dyDescent="0.3">
      <c r="A58" s="1" t="s">
        <v>217</v>
      </c>
      <c r="B58" s="1"/>
      <c r="C58" s="1"/>
      <c r="D58" s="1"/>
      <c r="E58" s="1"/>
      <c r="F58" s="1"/>
      <c r="G58" s="1"/>
      <c r="H58" s="1"/>
      <c r="I58" s="1"/>
    </row>
    <row r="59" spans="1:9" ht="42" customHeight="1" x14ac:dyDescent="0.3">
      <c r="A59" s="31">
        <v>46</v>
      </c>
      <c r="B59" s="32" t="s">
        <v>52</v>
      </c>
      <c r="C59" s="32" t="s">
        <v>218</v>
      </c>
      <c r="D59" s="24" t="s">
        <v>219</v>
      </c>
      <c r="E59" s="24" t="s">
        <v>220</v>
      </c>
      <c r="F59" s="23" t="s">
        <v>19</v>
      </c>
      <c r="G59" s="24"/>
      <c r="H59" s="24" t="s">
        <v>141</v>
      </c>
      <c r="I59" s="24"/>
    </row>
    <row r="60" spans="1:9" ht="42" customHeight="1" x14ac:dyDescent="0.3">
      <c r="A60" s="29">
        <v>47</v>
      </c>
      <c r="B60" s="30" t="s">
        <v>52</v>
      </c>
      <c r="C60" s="30" t="s">
        <v>221</v>
      </c>
      <c r="D60" s="18" t="s">
        <v>222</v>
      </c>
      <c r="E60" s="18" t="s">
        <v>223</v>
      </c>
      <c r="F60" s="26" t="s">
        <v>19</v>
      </c>
      <c r="G60" s="18"/>
      <c r="H60" s="18" t="s">
        <v>141</v>
      </c>
      <c r="I60" s="18"/>
    </row>
    <row r="61" spans="1:9" ht="42" customHeight="1" x14ac:dyDescent="0.3">
      <c r="A61" s="31">
        <v>48</v>
      </c>
      <c r="B61" s="32" t="s">
        <v>52</v>
      </c>
      <c r="C61" s="32" t="s">
        <v>224</v>
      </c>
      <c r="D61" s="24" t="s">
        <v>225</v>
      </c>
      <c r="E61" s="24" t="s">
        <v>226</v>
      </c>
      <c r="F61" s="23" t="s">
        <v>19</v>
      </c>
      <c r="G61" s="24"/>
      <c r="H61" s="24" t="s">
        <v>88</v>
      </c>
      <c r="I61" s="24"/>
    </row>
    <row r="62" spans="1:9" ht="42" customHeight="1" x14ac:dyDescent="0.3">
      <c r="A62" s="29">
        <v>49</v>
      </c>
      <c r="B62" s="30" t="s">
        <v>52</v>
      </c>
      <c r="C62" s="30" t="s">
        <v>227</v>
      </c>
      <c r="D62" s="18" t="s">
        <v>228</v>
      </c>
      <c r="E62" s="18" t="s">
        <v>229</v>
      </c>
      <c r="F62" s="26" t="s">
        <v>19</v>
      </c>
      <c r="G62" s="18"/>
      <c r="H62" s="18" t="s">
        <v>141</v>
      </c>
      <c r="I62" s="18"/>
    </row>
    <row r="63" spans="1:9" ht="42" customHeight="1" x14ac:dyDescent="0.3">
      <c r="A63" s="31">
        <v>50</v>
      </c>
      <c r="B63" s="32" t="s">
        <v>52</v>
      </c>
      <c r="C63" s="32" t="s">
        <v>230</v>
      </c>
      <c r="D63" s="24" t="s">
        <v>231</v>
      </c>
      <c r="E63" s="24" t="s">
        <v>232</v>
      </c>
      <c r="F63" s="23" t="s">
        <v>19</v>
      </c>
      <c r="G63" s="24"/>
      <c r="H63" s="24" t="s">
        <v>88</v>
      </c>
      <c r="I63" s="24"/>
    </row>
    <row r="64" spans="1:9" ht="42" customHeight="1" x14ac:dyDescent="0.3">
      <c r="A64" s="29">
        <v>51</v>
      </c>
      <c r="B64" s="30" t="s">
        <v>52</v>
      </c>
      <c r="C64" s="30" t="s">
        <v>233</v>
      </c>
      <c r="D64" s="18" t="s">
        <v>234</v>
      </c>
      <c r="E64" s="18" t="s">
        <v>235</v>
      </c>
      <c r="F64" s="26" t="s">
        <v>19</v>
      </c>
      <c r="G64" s="18"/>
      <c r="H64" s="18" t="s">
        <v>72</v>
      </c>
      <c r="I64" s="18"/>
    </row>
    <row r="65" spans="1:9" ht="42" customHeight="1" x14ac:dyDescent="0.3">
      <c r="A65" s="31">
        <v>52</v>
      </c>
      <c r="B65" s="32" t="s">
        <v>52</v>
      </c>
      <c r="C65" s="32" t="s">
        <v>236</v>
      </c>
      <c r="D65" s="24" t="s">
        <v>237</v>
      </c>
      <c r="E65" s="24" t="s">
        <v>238</v>
      </c>
      <c r="F65" s="23" t="s">
        <v>19</v>
      </c>
      <c r="G65" s="24"/>
      <c r="H65" s="24" t="s">
        <v>141</v>
      </c>
      <c r="I65" s="24"/>
    </row>
    <row r="66" spans="1:9" ht="25.5" customHeight="1" x14ac:dyDescent="0.3">
      <c r="A66" s="1" t="s">
        <v>239</v>
      </c>
      <c r="B66" s="1"/>
      <c r="C66" s="1"/>
      <c r="D66" s="1"/>
      <c r="E66" s="1"/>
      <c r="F66" s="1"/>
      <c r="G66" s="1"/>
      <c r="H66" s="1"/>
      <c r="I66" s="1"/>
    </row>
    <row r="67" spans="1:9" ht="42" customHeight="1" x14ac:dyDescent="0.3">
      <c r="A67" s="29">
        <v>53</v>
      </c>
      <c r="B67" s="30" t="s">
        <v>54</v>
      </c>
      <c r="C67" s="30" t="s">
        <v>240</v>
      </c>
      <c r="D67" s="18" t="s">
        <v>241</v>
      </c>
      <c r="E67" s="18" t="s">
        <v>242</v>
      </c>
      <c r="F67" s="26" t="s">
        <v>19</v>
      </c>
      <c r="G67" s="18"/>
      <c r="H67" s="18" t="s">
        <v>88</v>
      </c>
      <c r="I67" s="18"/>
    </row>
    <row r="68" spans="1:9" ht="42" customHeight="1" x14ac:dyDescent="0.3">
      <c r="A68" s="31">
        <v>54</v>
      </c>
      <c r="B68" s="32" t="s">
        <v>54</v>
      </c>
      <c r="C68" s="32" t="s">
        <v>243</v>
      </c>
      <c r="D68" s="24" t="s">
        <v>244</v>
      </c>
      <c r="E68" s="24" t="s">
        <v>245</v>
      </c>
      <c r="F68" s="23" t="s">
        <v>19</v>
      </c>
      <c r="G68" s="24"/>
      <c r="H68" s="24" t="s">
        <v>72</v>
      </c>
      <c r="I68" s="24"/>
    </row>
    <row r="69" spans="1:9" ht="42" customHeight="1" x14ac:dyDescent="0.3">
      <c r="A69" s="29">
        <v>55</v>
      </c>
      <c r="B69" s="30" t="s">
        <v>54</v>
      </c>
      <c r="C69" s="30" t="s">
        <v>246</v>
      </c>
      <c r="D69" s="18" t="s">
        <v>247</v>
      </c>
      <c r="E69" s="18" t="s">
        <v>248</v>
      </c>
      <c r="F69" s="26" t="s">
        <v>19</v>
      </c>
      <c r="G69" s="18"/>
      <c r="H69" s="18" t="s">
        <v>88</v>
      </c>
      <c r="I69" s="18"/>
    </row>
    <row r="70" spans="1:9" ht="42" customHeight="1" x14ac:dyDescent="0.3">
      <c r="A70" s="31">
        <v>56</v>
      </c>
      <c r="B70" s="32" t="s">
        <v>54</v>
      </c>
      <c r="C70" s="32" t="s">
        <v>249</v>
      </c>
      <c r="D70" s="24" t="s">
        <v>250</v>
      </c>
      <c r="E70" s="24" t="s">
        <v>251</v>
      </c>
      <c r="F70" s="23" t="s">
        <v>19</v>
      </c>
      <c r="G70" s="24"/>
      <c r="H70" s="24" t="s">
        <v>88</v>
      </c>
      <c r="I70" s="24"/>
    </row>
    <row r="71" spans="1:9" ht="42" customHeight="1" x14ac:dyDescent="0.3">
      <c r="A71" s="29">
        <v>57</v>
      </c>
      <c r="B71" s="30" t="s">
        <v>54</v>
      </c>
      <c r="C71" s="30" t="s">
        <v>252</v>
      </c>
      <c r="D71" s="18" t="s">
        <v>253</v>
      </c>
      <c r="E71" s="18" t="s">
        <v>254</v>
      </c>
      <c r="F71" s="26" t="s">
        <v>19</v>
      </c>
      <c r="G71" s="18"/>
      <c r="H71" s="18" t="s">
        <v>141</v>
      </c>
      <c r="I71" s="18"/>
    </row>
    <row r="72" spans="1:9" ht="42" customHeight="1" x14ac:dyDescent="0.3">
      <c r="A72" s="31">
        <v>58</v>
      </c>
      <c r="B72" s="32" t="s">
        <v>54</v>
      </c>
      <c r="C72" s="32" t="s">
        <v>255</v>
      </c>
      <c r="D72" s="24" t="s">
        <v>256</v>
      </c>
      <c r="E72" s="24" t="s">
        <v>257</v>
      </c>
      <c r="F72" s="23" t="s">
        <v>19</v>
      </c>
      <c r="G72" s="24"/>
      <c r="H72" s="24" t="s">
        <v>141</v>
      </c>
      <c r="I72" s="24"/>
    </row>
    <row r="73" spans="1:9" ht="25.5" customHeight="1" x14ac:dyDescent="0.3">
      <c r="A73" s="1" t="s">
        <v>258</v>
      </c>
      <c r="B73" s="1"/>
      <c r="C73" s="1"/>
      <c r="D73" s="1"/>
      <c r="E73" s="1"/>
      <c r="F73" s="1"/>
      <c r="G73" s="1"/>
      <c r="H73" s="1"/>
      <c r="I73" s="1"/>
    </row>
    <row r="74" spans="1:9" ht="42" customHeight="1" x14ac:dyDescent="0.3">
      <c r="A74" s="29">
        <v>59</v>
      </c>
      <c r="B74" s="30" t="s">
        <v>56</v>
      </c>
      <c r="C74" s="30" t="s">
        <v>259</v>
      </c>
      <c r="D74" s="18" t="s">
        <v>260</v>
      </c>
      <c r="E74" s="18" t="s">
        <v>261</v>
      </c>
      <c r="F74" s="26" t="s">
        <v>19</v>
      </c>
      <c r="G74" s="18"/>
      <c r="H74" s="18" t="s">
        <v>123</v>
      </c>
      <c r="I74" s="18"/>
    </row>
    <row r="75" spans="1:9" ht="42" customHeight="1" x14ac:dyDescent="0.3">
      <c r="A75" s="31">
        <v>60</v>
      </c>
      <c r="B75" s="32" t="s">
        <v>56</v>
      </c>
      <c r="C75" s="32" t="s">
        <v>262</v>
      </c>
      <c r="D75" s="24" t="s">
        <v>263</v>
      </c>
      <c r="E75" s="24" t="s">
        <v>264</v>
      </c>
      <c r="F75" s="23" t="s">
        <v>19</v>
      </c>
      <c r="G75" s="24"/>
      <c r="H75" s="24" t="s">
        <v>265</v>
      </c>
      <c r="I75" s="24"/>
    </row>
    <row r="76" spans="1:9" ht="42" customHeight="1" x14ac:dyDescent="0.3">
      <c r="A76" s="29">
        <v>61</v>
      </c>
      <c r="B76" s="30" t="s">
        <v>56</v>
      </c>
      <c r="C76" s="30" t="s">
        <v>266</v>
      </c>
      <c r="D76" s="18" t="s">
        <v>267</v>
      </c>
      <c r="E76" s="39" t="s">
        <v>295</v>
      </c>
      <c r="F76" s="26" t="s">
        <v>19</v>
      </c>
      <c r="G76" s="18"/>
      <c r="H76" s="18" t="s">
        <v>98</v>
      </c>
      <c r="I76" s="18"/>
    </row>
    <row r="77" spans="1:9" ht="42" customHeight="1" x14ac:dyDescent="0.3">
      <c r="A77" s="31">
        <v>62</v>
      </c>
      <c r="B77" s="32" t="s">
        <v>56</v>
      </c>
      <c r="C77" s="32" t="s">
        <v>268</v>
      </c>
      <c r="D77" s="24" t="s">
        <v>269</v>
      </c>
      <c r="E77" s="24" t="s">
        <v>270</v>
      </c>
      <c r="F77" s="23" t="s">
        <v>19</v>
      </c>
      <c r="G77" s="24"/>
      <c r="H77" s="24" t="s">
        <v>123</v>
      </c>
      <c r="I77" s="24"/>
    </row>
    <row r="78" spans="1:9" ht="42" customHeight="1" x14ac:dyDescent="0.3">
      <c r="A78" s="29">
        <v>63</v>
      </c>
      <c r="B78" s="30" t="s">
        <v>56</v>
      </c>
      <c r="C78" s="30" t="s">
        <v>271</v>
      </c>
      <c r="D78" s="18" t="s">
        <v>272</v>
      </c>
      <c r="E78" s="18" t="s">
        <v>273</v>
      </c>
      <c r="F78" s="26" t="s">
        <v>19</v>
      </c>
      <c r="G78" s="39" t="s">
        <v>296</v>
      </c>
      <c r="H78" s="18" t="s">
        <v>123</v>
      </c>
      <c r="I78" s="18"/>
    </row>
    <row r="79" spans="1:9" ht="42" customHeight="1" x14ac:dyDescent="0.3">
      <c r="A79" s="31">
        <v>64</v>
      </c>
      <c r="B79" s="32" t="s">
        <v>56</v>
      </c>
      <c r="C79" s="32" t="s">
        <v>274</v>
      </c>
      <c r="D79" s="24" t="s">
        <v>275</v>
      </c>
      <c r="E79" s="24" t="s">
        <v>276</v>
      </c>
      <c r="F79" s="23" t="s">
        <v>19</v>
      </c>
      <c r="G79" s="24"/>
      <c r="H79" s="24" t="s">
        <v>265</v>
      </c>
      <c r="I79" s="24"/>
    </row>
    <row r="80" spans="1:9" ht="42" customHeight="1" x14ac:dyDescent="0.3">
      <c r="A80" s="29">
        <v>65</v>
      </c>
      <c r="B80" s="30" t="s">
        <v>56</v>
      </c>
      <c r="C80" s="30" t="s">
        <v>277</v>
      </c>
      <c r="D80" s="18" t="s">
        <v>278</v>
      </c>
      <c r="E80" s="18" t="s">
        <v>279</v>
      </c>
      <c r="F80" s="26" t="s">
        <v>19</v>
      </c>
      <c r="G80" s="18"/>
      <c r="H80" s="18" t="s">
        <v>98</v>
      </c>
      <c r="I80" s="18"/>
    </row>
    <row r="81" spans="1:9" ht="42" customHeight="1" x14ac:dyDescent="0.3">
      <c r="A81" s="31">
        <v>66</v>
      </c>
      <c r="B81" s="32" t="s">
        <v>56</v>
      </c>
      <c r="C81" s="32" t="s">
        <v>280</v>
      </c>
      <c r="D81" s="24" t="s">
        <v>281</v>
      </c>
      <c r="E81" s="24" t="s">
        <v>282</v>
      </c>
      <c r="F81" s="23" t="s">
        <v>19</v>
      </c>
      <c r="G81" s="24"/>
      <c r="H81" s="24" t="s">
        <v>98</v>
      </c>
      <c r="I81" s="24"/>
    </row>
    <row r="82" spans="1:9" ht="42" customHeight="1" x14ac:dyDescent="0.3">
      <c r="A82" s="29">
        <v>67</v>
      </c>
      <c r="B82" s="30" t="s">
        <v>56</v>
      </c>
      <c r="C82" s="30" t="s">
        <v>283</v>
      </c>
      <c r="D82" s="18" t="s">
        <v>284</v>
      </c>
      <c r="E82" s="18" t="s">
        <v>285</v>
      </c>
      <c r="F82" s="26" t="s">
        <v>23</v>
      </c>
      <c r="G82" s="18"/>
      <c r="H82" s="18" t="s">
        <v>265</v>
      </c>
      <c r="I82" s="18"/>
    </row>
    <row r="83" spans="1:9" ht="42" customHeight="1" x14ac:dyDescent="0.3">
      <c r="A83" s="31">
        <v>68</v>
      </c>
      <c r="B83" s="32" t="s">
        <v>56</v>
      </c>
      <c r="C83" s="32" t="s">
        <v>286</v>
      </c>
      <c r="D83" s="24" t="s">
        <v>287</v>
      </c>
      <c r="E83" s="24" t="s">
        <v>288</v>
      </c>
      <c r="F83" s="23" t="s">
        <v>19</v>
      </c>
      <c r="G83" s="24"/>
      <c r="H83" s="24" t="s">
        <v>88</v>
      </c>
      <c r="I83" s="24"/>
    </row>
  </sheetData>
  <mergeCells count="14">
    <mergeCell ref="A51:I51"/>
    <mergeCell ref="A58:I58"/>
    <mergeCell ref="A66:I66"/>
    <mergeCell ref="A73:I73"/>
    <mergeCell ref="A23:I23"/>
    <mergeCell ref="A27:I27"/>
    <mergeCell ref="A32:I32"/>
    <mergeCell ref="A38:I38"/>
    <mergeCell ref="A42:I42"/>
    <mergeCell ref="A1:I1"/>
    <mergeCell ref="A2:I2"/>
    <mergeCell ref="A4:I4"/>
    <mergeCell ref="A10:I10"/>
    <mergeCell ref="A15:I15"/>
  </mergeCells>
  <dataValidations count="1">
    <dataValidation type="list" sqref="F5:F9 F11:F14 F16:F22 F24:F26 F28:F31 F33:F37 F39:F41 F43:F50 F52:F57 F59:F65 F67:F72 F74:F83" xr:uid="{00000000-0002-0000-0200-000000000000}">
      <formula1>"Compliant,Non-Compliant,Partially,N/A,Not 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showGridLines="0" zoomScaleNormal="100" workbookViewId="0">
      <selection activeCell="D12" sqref="D12"/>
    </sheetView>
  </sheetViews>
  <sheetFormatPr defaultColWidth="8.6640625" defaultRowHeight="14.4" x14ac:dyDescent="0.3"/>
  <cols>
    <col min="1" max="1" width="5" customWidth="1"/>
    <col min="2" max="2" width="8" customWidth="1"/>
    <col min="3" max="3" width="16" customWidth="1"/>
    <col min="4" max="4" width="45" customWidth="1"/>
    <col min="5" max="5" width="12" customWidth="1"/>
    <col min="6" max="7" width="20" customWidth="1"/>
    <col min="8" max="8" width="16" customWidth="1"/>
    <col min="9" max="9" width="20" customWidth="1"/>
  </cols>
  <sheetData>
    <row r="1" spans="1:9" ht="27.75" customHeight="1" x14ac:dyDescent="0.3">
      <c r="A1" s="34"/>
      <c r="B1" s="34"/>
      <c r="C1" s="34"/>
      <c r="D1" s="34"/>
      <c r="E1" s="34"/>
      <c r="F1" s="34"/>
      <c r="G1" s="34"/>
      <c r="H1" s="34"/>
      <c r="I1" s="34"/>
    </row>
    <row r="2" spans="1:9" ht="25.5" customHeight="1" x14ac:dyDescent="0.3">
      <c r="A2" s="22"/>
      <c r="B2" s="22"/>
      <c r="C2" s="22"/>
      <c r="D2" s="22"/>
      <c r="E2" s="22"/>
      <c r="F2" s="22"/>
      <c r="G2" s="22"/>
      <c r="H2" s="22"/>
      <c r="I2" s="22"/>
    </row>
    <row r="3" spans="1:9" ht="73.8" customHeight="1" x14ac:dyDescent="0.3">
      <c r="A3" s="25"/>
      <c r="B3" s="25"/>
      <c r="C3" s="25"/>
      <c r="D3" s="24"/>
      <c r="E3" s="17"/>
      <c r="F3" s="24"/>
      <c r="G3" s="24"/>
      <c r="H3" s="25"/>
      <c r="I3" s="25"/>
    </row>
    <row r="4" spans="1:9" ht="72" customHeight="1" x14ac:dyDescent="0.3">
      <c r="A4" s="27"/>
      <c r="B4" s="27"/>
      <c r="C4" s="27"/>
      <c r="D4" s="39"/>
      <c r="E4" s="33"/>
      <c r="F4" s="18"/>
      <c r="G4" s="18"/>
      <c r="H4" s="27"/>
      <c r="I4" s="27"/>
    </row>
    <row r="5" spans="1:9" ht="70.2" customHeight="1" x14ac:dyDescent="0.3">
      <c r="A5" s="25"/>
      <c r="B5" s="25"/>
      <c r="C5" s="25"/>
      <c r="D5" s="37"/>
      <c r="E5" s="33"/>
      <c r="F5" s="24"/>
      <c r="G5" s="37"/>
      <c r="H5" s="25"/>
      <c r="I5" s="25"/>
    </row>
    <row r="6" spans="1:9" ht="75.599999999999994" customHeight="1" x14ac:dyDescent="0.3">
      <c r="A6" s="27"/>
      <c r="B6" s="27"/>
      <c r="C6" s="27"/>
      <c r="D6" s="18"/>
      <c r="E6" s="33"/>
      <c r="F6" s="18"/>
      <c r="G6" s="18"/>
      <c r="H6" s="27"/>
      <c r="I6" s="27"/>
    </row>
    <row r="7" spans="1:9" ht="66" customHeight="1" x14ac:dyDescent="0.3">
      <c r="A7" s="25"/>
      <c r="B7" s="25"/>
      <c r="C7" s="25"/>
      <c r="D7" s="24"/>
      <c r="E7" s="19"/>
      <c r="F7" s="24"/>
      <c r="G7" s="24"/>
      <c r="H7" s="25"/>
      <c r="I7" s="25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Summary Dashboard</vt:lpstr>
      <vt:lpstr>Checklist</vt:lpstr>
      <vt:lpstr>Open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samara risha</cp:lastModifiedBy>
  <cp:revision>0</cp:revision>
  <dcterms:created xsi:type="dcterms:W3CDTF">2026-04-08T13:32:48Z</dcterms:created>
  <dcterms:modified xsi:type="dcterms:W3CDTF">2026-04-08T14:39:52Z</dcterms:modified>
  <dc:language>en-US</dc:language>
</cp:coreProperties>
</file>