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EXPRESS\Downloads\"/>
    </mc:Choice>
  </mc:AlternateContent>
  <xr:revisionPtr revIDLastSave="0" documentId="13_ncr:1_{09DC3453-5CD3-4D46-AEBE-DCF0FB4F7725}" xr6:coauthVersionLast="47" xr6:coauthVersionMax="47" xr10:uidLastSave="{00000000-0000-0000-0000-000000000000}"/>
  <bookViews>
    <workbookView xWindow="-108" yWindow="-108" windowWidth="23256" windowHeight="12576" activeTab="4" xr2:uid="{00000000-000D-0000-FFFF-FFFF00000000}"/>
  </bookViews>
  <sheets>
    <sheet name="Cover Page" sheetId="1" r:id="rId1"/>
    <sheet name="Data Validation" sheetId="2" state="hidden" r:id="rId2"/>
    <sheet name="Version control" sheetId="3" r:id="rId3"/>
    <sheet name="Risk register legend" sheetId="4" r:id="rId4"/>
    <sheet name="Risk register" sheetId="5" r:id="rId5"/>
    <sheet name="Heat map" sheetId="6" r:id="rId6"/>
    <sheet name="Overall risks" sheetId="7" r:id="rId7"/>
    <sheet name="Summary of risks" sheetId="8" state="hidden" r:id="rId8"/>
  </sheets>
  <definedNames>
    <definedName name="AAL" localSheetId="0">#REF!</definedName>
    <definedName name="AAL">#REF!</definedName>
    <definedName name="ACC" localSheetId="0">#REF!</definedName>
    <definedName name="ACC">#REF!</definedName>
    <definedName name="ACR" localSheetId="0">#REF!</definedName>
    <definedName name="ACR">#REF!</definedName>
    <definedName name="ALG" localSheetId="0">#REF!</definedName>
    <definedName name="ALG">#REF!</definedName>
    <definedName name="ANT" localSheetId="0">#REF!</definedName>
    <definedName name="ANT">#REF!</definedName>
    <definedName name="ATC" localSheetId="0">#REF!</definedName>
    <definedName name="ATC">#REF!</definedName>
    <definedName name="ATT" localSheetId="0">#REF!</definedName>
    <definedName name="ATT">#REF!</definedName>
    <definedName name="AUU" localSheetId="0">#REF!</definedName>
    <definedName name="AUU">#REF!</definedName>
    <definedName name="b" localSheetId="0">#REF!</definedName>
    <definedName name="b">#REF!</definedName>
    <definedName name="bb" localSheetId="0">#REF!</definedName>
    <definedName name="bb">#REF!</definedName>
    <definedName name="BCY" localSheetId="0">#REF!</definedName>
    <definedName name="BCY">#REF!</definedName>
    <definedName name="BDR" localSheetId="0">#REF!</definedName>
    <definedName name="BDR">#REF!</definedName>
    <definedName name="BNW" localSheetId="0">#REF!</definedName>
    <definedName name="BNW">#REF!</definedName>
    <definedName name="BSc_Elective" localSheetId="0">#REF!</definedName>
    <definedName name="BSc_Elective">#REF!</definedName>
    <definedName name="BscElective" localSheetId="0">#REF!</definedName>
    <definedName name="BscElective">#REF!</definedName>
    <definedName name="BScMajor" localSheetId="0">#REF!</definedName>
    <definedName name="BScMajor">#REF!</definedName>
    <definedName name="BScTrack" localSheetId="0">#REF!</definedName>
    <definedName name="BScTrack">#REF!</definedName>
    <definedName name="BSP" localSheetId="0">#REF!</definedName>
    <definedName name="BSP">#REF!</definedName>
    <definedName name="CCO" localSheetId="0">#REF!</definedName>
    <definedName name="CCO">#REF!</definedName>
    <definedName name="CCR" localSheetId="0">#REF!</definedName>
    <definedName name="CCR">#REF!</definedName>
    <definedName name="CDP" localSheetId="0">#REF!</definedName>
    <definedName name="CDP">#REF!</definedName>
    <definedName name="Checkbox">#REF!</definedName>
    <definedName name="CourseCodes" localSheetId="0">#REF!</definedName>
    <definedName name="CourseCodes">#REF!</definedName>
    <definedName name="CPM" localSheetId="0">#REF!</definedName>
    <definedName name="CPM">#REF!</definedName>
    <definedName name="CPP" localSheetId="0">#REF!</definedName>
    <definedName name="CPP">#REF!</definedName>
    <definedName name="CSE" localSheetId="0">#REF!</definedName>
    <definedName name="CSE">#REF!</definedName>
    <definedName name="CSF" localSheetId="0">#REF!</definedName>
    <definedName name="CSF">#REF!</definedName>
    <definedName name="CTH" localSheetId="0">#REF!</definedName>
    <definedName name="CTH">#REF!</definedName>
    <definedName name="DAT" localSheetId="0">#REF!</definedName>
    <definedName name="DAT">#REF!</definedName>
    <definedName name="DBA" localSheetId="0">#REF!</definedName>
    <definedName name="DBA">#REF!</definedName>
    <definedName name="DCO" localSheetId="0">#REF!</definedName>
    <definedName name="DCO">#REF!</definedName>
    <definedName name="DDL" localSheetId="0">#REF!</definedName>
    <definedName name="DDL">#REF!</definedName>
    <definedName name="DFS" localSheetId="0">#REF!</definedName>
    <definedName name="DFS">#REF!</definedName>
    <definedName name="DIA" localSheetId="0">#REF!</definedName>
    <definedName name="DIA">#REF!</definedName>
    <definedName name="DiplomaIT" localSheetId="0">#REF!</definedName>
    <definedName name="DiplomaIT">#REF!</definedName>
    <definedName name="DiplomaNonIT" localSheetId="0">#REF!</definedName>
    <definedName name="DiplomaNonIT">#REF!</definedName>
    <definedName name="DLL" localSheetId="0">#REF!</definedName>
    <definedName name="DLL">#REF!</definedName>
    <definedName name="DMS" localSheetId="0">#REF!</definedName>
    <definedName name="DMS">#REF!</definedName>
    <definedName name="DSA" localSheetId="0">#REF!</definedName>
    <definedName name="DSA">#REF!</definedName>
    <definedName name="DST" localSheetId="0">#REF!</definedName>
    <definedName name="DST">#REF!</definedName>
    <definedName name="DVF" localSheetId="0">#REF!</definedName>
    <definedName name="DVF">#REF!</definedName>
    <definedName name="ESI" localSheetId="0">#REF!</definedName>
    <definedName name="ESI">#REF!</definedName>
    <definedName name="FAC" localSheetId="0">#REF!</definedName>
    <definedName name="FAC">#REF!</definedName>
    <definedName name="FMD" localSheetId="0">#REF!</definedName>
    <definedName name="FMD">#REF!</definedName>
    <definedName name="FPM" localSheetId="0">#REF!</definedName>
    <definedName name="FPM">#REF!</definedName>
    <definedName name="GoToProgram" localSheetId="0">#REF!</definedName>
    <definedName name="GoToProgram">#REF!</definedName>
    <definedName name="HAA" localSheetId="0">#REF!</definedName>
    <definedName name="HAA">#REF!</definedName>
    <definedName name="HFS" localSheetId="0">#REF!</definedName>
    <definedName name="HFS">#REF!</definedName>
    <definedName name="HOF" localSheetId="0">#REF!</definedName>
    <definedName name="HOF">#REF!</definedName>
    <definedName name="HOP" localSheetId="0">#REF!</definedName>
    <definedName name="HOP">#REF!</definedName>
    <definedName name="HRE" localSheetId="0">#REF!</definedName>
    <definedName name="HRE">#REF!</definedName>
    <definedName name="IAA" localSheetId="0">#REF!</definedName>
    <definedName name="IAA">#REF!</definedName>
    <definedName name="IAC" localSheetId="0">#REF!</definedName>
    <definedName name="IAC">#REF!</definedName>
    <definedName name="IAS" localSheetId="0">#REF!</definedName>
    <definedName name="IAS">#REF!</definedName>
    <definedName name="ICS" localSheetId="0">#REF!</definedName>
    <definedName name="ICS">#REF!</definedName>
    <definedName name="IDR" localSheetId="0">#REF!</definedName>
    <definedName name="IDR">#REF!</definedName>
    <definedName name="IDS" localSheetId="0">#REF!</definedName>
    <definedName name="IDS">#REF!</definedName>
    <definedName name="IMM" localSheetId="0">#REF!</definedName>
    <definedName name="IMM">#REF!</definedName>
    <definedName name="ISC" localSheetId="0">#REF!</definedName>
    <definedName name="ISC">#REF!</definedName>
    <definedName name="ISS" localSheetId="0">#REF!</definedName>
    <definedName name="ISS">#REF!</definedName>
    <definedName name="ITC" localSheetId="0">#REF!</definedName>
    <definedName name="ITC">#REF!</definedName>
    <definedName name="LCS" localSheetId="0">#REF!</definedName>
    <definedName name="LCS">#REF!</definedName>
    <definedName name="listIndex" localSheetId="0">#REF!</definedName>
    <definedName name="listIndex">#REF!</definedName>
    <definedName name="ListOfPages" localSheetId="0">#REF!</definedName>
    <definedName name="ListOfPages">#REF!</definedName>
    <definedName name="LLP" localSheetId="0">#REF!</definedName>
    <definedName name="LLP">#REF!</definedName>
    <definedName name="LSA" localSheetId="0">#REF!</definedName>
    <definedName name="LSA">#REF!</definedName>
    <definedName name="MEF" localSheetId="0">#REF!</definedName>
    <definedName name="MEF">#REF!</definedName>
    <definedName name="MLL" localSheetId="0">#REF!</definedName>
    <definedName name="MLL">#REF!</definedName>
    <definedName name="MOT" localSheetId="0">#REF!</definedName>
    <definedName name="MOT">#REF!</definedName>
    <definedName name="NDF" localSheetId="0">#REF!</definedName>
    <definedName name="NDF">#REF!</definedName>
    <definedName name="NSA" localSheetId="0">#REF!</definedName>
    <definedName name="NSA">#REF!</definedName>
    <definedName name="NTP" localSheetId="0">#REF!</definedName>
    <definedName name="NTP">#REF!</definedName>
    <definedName name="NWF" localSheetId="0">#REF!</definedName>
    <definedName name="NWF">#REF!</definedName>
    <definedName name="OSA" localSheetId="0">#REF!</definedName>
    <definedName name="OSA">#REF!</definedName>
    <definedName name="OSC" localSheetId="0">#REF!</definedName>
    <definedName name="OSC">#REF!</definedName>
    <definedName name="OSH" localSheetId="0">#REF!</definedName>
    <definedName name="OSH">#REF!</definedName>
    <definedName name="OST" localSheetId="0">#REF!</definedName>
    <definedName name="OST">#REF!</definedName>
    <definedName name="PLE" localSheetId="0">#REF!</definedName>
    <definedName name="PLE">#REF!</definedName>
    <definedName name="PRI" localSheetId="0">#REF!</definedName>
    <definedName name="PRI">#REF!</definedName>
    <definedName name="PTT" localSheetId="0">#REF!</definedName>
    <definedName name="PTT">#REF!</definedName>
    <definedName name="QAT" localSheetId="0">#REF!</definedName>
    <definedName name="QAT">#REF!</definedName>
    <definedName name="Range" localSheetId="0">#REF!</definedName>
    <definedName name="Range">#REF!</definedName>
    <definedName name="RFP" localSheetId="0">#REF!</definedName>
    <definedName name="RFP">#REF!</definedName>
    <definedName name="SAS" localSheetId="0">#REF!</definedName>
    <definedName name="SAS">#REF!</definedName>
    <definedName name="SCC" localSheetId="0">#REF!</definedName>
    <definedName name="SCC">#REF!</definedName>
    <definedName name="SCP" localSheetId="0">#REF!</definedName>
    <definedName name="SCP">#REF!</definedName>
    <definedName name="SCS" localSheetId="0">#REF!</definedName>
    <definedName name="SCS">#REF!</definedName>
    <definedName name="Select_an_elective_Unit" localSheetId="0">#REF!</definedName>
    <definedName name="Select_an_elective_Unit">#REF!</definedName>
    <definedName name="SPG" localSheetId="0">#REF!</definedName>
    <definedName name="SPG">#REF!</definedName>
    <definedName name="SPM" localSheetId="0">#REF!</definedName>
    <definedName name="SPM">#REF!</definedName>
    <definedName name="SPP" localSheetId="0">#REF!</definedName>
    <definedName name="SPP">#REF!</definedName>
    <definedName name="SRA" localSheetId="0">#REF!</definedName>
    <definedName name="SRA">#REF!</definedName>
    <definedName name="SRE" localSheetId="0">#REF!</definedName>
    <definedName name="SRE">#REF!</definedName>
    <definedName name="SSA" localSheetId="0">#REF!</definedName>
    <definedName name="SSA">#REF!</definedName>
    <definedName name="SSE" localSheetId="0">#REF!</definedName>
    <definedName name="SSE">#REF!</definedName>
    <definedName name="Type" localSheetId="0">#REF!</definedName>
    <definedName name="Type">#REF!</definedName>
    <definedName name="VLA" localSheetId="0">#REF!</definedName>
    <definedName name="VLA">#REF!</definedName>
    <definedName name="VTT" localSheetId="0">#REF!</definedName>
    <definedName name="VTT">#REF!</definedName>
    <definedName name="WAS" localSheetId="0">#REF!</definedName>
    <definedName name="WAS">#REF!</definedName>
    <definedName name="WSA" localSheetId="0">#REF!</definedName>
    <definedName name="WSA">#REF!</definedName>
    <definedName name="WSN" localSheetId="0">#REF!</definedName>
    <definedName name="WS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2" i="5" l="1"/>
  <c r="B8" i="7"/>
  <c r="P14" i="6"/>
  <c r="O14" i="6"/>
  <c r="N14" i="6"/>
  <c r="M14" i="6"/>
  <c r="L14" i="6"/>
  <c r="H14" i="6"/>
  <c r="G14" i="6"/>
  <c r="F14" i="6"/>
  <c r="E14" i="6"/>
  <c r="D14" i="6"/>
  <c r="P13" i="6"/>
  <c r="O13" i="6"/>
  <c r="N13" i="6"/>
  <c r="M13" i="6"/>
  <c r="L13" i="6"/>
  <c r="H13" i="6"/>
  <c r="G13" i="6"/>
  <c r="F13" i="6"/>
  <c r="E13" i="6"/>
  <c r="D13" i="6"/>
  <c r="P12" i="6"/>
  <c r="O12" i="6"/>
  <c r="N12" i="6"/>
  <c r="M12" i="6"/>
  <c r="L12" i="6"/>
  <c r="H12" i="6"/>
  <c r="G12" i="6"/>
  <c r="F12" i="6"/>
  <c r="E12" i="6"/>
  <c r="D12" i="6"/>
  <c r="P11" i="6"/>
  <c r="O11" i="6"/>
  <c r="N11" i="6"/>
  <c r="M11" i="6"/>
  <c r="L11" i="6"/>
  <c r="H11" i="6"/>
  <c r="G11" i="6"/>
  <c r="F11" i="6"/>
  <c r="E11" i="6"/>
  <c r="D11" i="6"/>
  <c r="P10" i="6"/>
  <c r="O10" i="6"/>
  <c r="N10" i="6"/>
  <c r="M10" i="6"/>
  <c r="L10" i="6"/>
  <c r="H10" i="6"/>
  <c r="G10" i="6"/>
  <c r="F10" i="6"/>
  <c r="E10" i="6"/>
  <c r="D10" i="6"/>
  <c r="D8" i="6"/>
  <c r="B10" i="3"/>
  <c r="F7" i="8"/>
  <c r="M12" i="5"/>
  <c r="C7" i="8" s="1"/>
  <c r="B8" i="5"/>
  <c r="C3" i="8" l="1"/>
  <c r="F3" i="8"/>
  <c r="C4" i="8"/>
  <c r="F4" i="8"/>
  <c r="C5" i="8"/>
  <c r="F5" i="8"/>
  <c r="C6" i="8"/>
  <c r="F6" i="8"/>
</calcChain>
</file>

<file path=xl/sharedStrings.xml><?xml version="1.0" encoding="utf-8"?>
<sst xmlns="http://schemas.openxmlformats.org/spreadsheetml/2006/main" count="326" uniqueCount="189">
  <si>
    <t>Risk register</t>
  </si>
  <si>
    <t>Risk identifier</t>
  </si>
  <si>
    <t>Risk area (scope of risk)</t>
  </si>
  <si>
    <t>Risk owner</t>
  </si>
  <si>
    <t>Date of risk identification</t>
  </si>
  <si>
    <t>Description of the risk</t>
  </si>
  <si>
    <t>Risk cause</t>
  </si>
  <si>
    <t>Threat</t>
  </si>
  <si>
    <t>Risk analysis and consequences</t>
  </si>
  <si>
    <t>Date of risk analysis and evaluation</t>
  </si>
  <si>
    <t>Inherent risk likelihood (1-5)</t>
  </si>
  <si>
    <t>Inherent risk magnitude/impact (1-5)</t>
  </si>
  <si>
    <t>Overall inherent risk rating</t>
  </si>
  <si>
    <t>Updated overall inherent risk rating (manual override)</t>
  </si>
  <si>
    <t>Type of treatment action</t>
  </si>
  <si>
    <t>Risk treatment description</t>
  </si>
  <si>
    <t>Owner of the treatment action</t>
  </si>
  <si>
    <t>Deadline for action</t>
  </si>
  <si>
    <t>Residual risk description</t>
  </si>
  <si>
    <t>Residual risk likelihood (1-5)</t>
  </si>
  <si>
    <t>Residual risk magnitude/impact (1-5)</t>
  </si>
  <si>
    <t>Overall residaul risk rating</t>
  </si>
  <si>
    <t>Following steps description</t>
  </si>
  <si>
    <t>Last evaluation date</t>
  </si>
  <si>
    <t>Comment</t>
  </si>
  <si>
    <t>IT assets</t>
  </si>
  <si>
    <t>Ibrahim Gamal</t>
  </si>
  <si>
    <t>Finanicial Loss    unauthorized transactions</t>
  </si>
  <si>
    <t>Lack of input validation/sanitization in OFS messages</t>
  </si>
  <si>
    <t>Vulnerable software</t>
  </si>
  <si>
    <t>Injecting crafted OFS requests to bypass validation and perform unauthorized transfers</t>
  </si>
  <si>
    <t>Critical</t>
  </si>
  <si>
    <t>Risk Mitigation</t>
  </si>
  <si>
    <t>The risk will be mitigated by implementing strict input validation on OFS messages, enforcing strong authentication and authorization controls, restricting access to OFS interfaces, and enabling continuous monitoring and logging of transactions.”</t>
  </si>
  <si>
    <t xml:space="preserve">Sara Asharaf Ibrahim Gamal  </t>
  </si>
  <si>
    <t xml:space="preserve">There will still be  risk and the Temons team must provide a comeplete mitigation for it </t>
  </si>
  <si>
    <t>Monitor implementation of the controls and residual risk</t>
  </si>
  <si>
    <t>N/A</t>
  </si>
  <si>
    <t>Data breaches (customer/account data exposure)</t>
  </si>
  <si>
    <t>Data breach/leakage</t>
  </si>
  <si>
    <t>The Customer data will be exposed leading to reputaional damage</t>
  </si>
  <si>
    <t>critical</t>
  </si>
  <si>
    <t xml:space="preserve">
.</t>
  </si>
  <si>
    <t>Please select overall inherent risk rating</t>
  </si>
  <si>
    <t xml:space="preserve">
.+26:29</t>
  </si>
  <si>
    <t>Cybersecurity Risk Register</t>
  </si>
  <si>
    <t>New Nile Bank</t>
  </si>
  <si>
    <t>Classification:</t>
  </si>
  <si>
    <t>Confidential</t>
  </si>
  <si>
    <t>Version:</t>
  </si>
  <si>
    <t>1.0</t>
  </si>
  <si>
    <t>Date:</t>
  </si>
  <si>
    <t>Please select a scope of risk</t>
  </si>
  <si>
    <t>Please select a risk treatment</t>
  </si>
  <si>
    <t>Choose Classification</t>
  </si>
  <si>
    <t>Please select a threat</t>
  </si>
  <si>
    <t>Top Secret</t>
  </si>
  <si>
    <t>Credential compromise</t>
  </si>
  <si>
    <t>Business process</t>
  </si>
  <si>
    <t>Risk Avoidance</t>
  </si>
  <si>
    <t>Secret</t>
  </si>
  <si>
    <t>High</t>
  </si>
  <si>
    <t>Insider threats</t>
  </si>
  <si>
    <t>Personnel</t>
  </si>
  <si>
    <t>Risk Transfer</t>
  </si>
  <si>
    <t>Medium</t>
  </si>
  <si>
    <t>Asset compromise</t>
  </si>
  <si>
    <t>Risk Acceptance</t>
  </si>
  <si>
    <t>Public</t>
  </si>
  <si>
    <t>Low</t>
  </si>
  <si>
    <t>Social engineering</t>
  </si>
  <si>
    <t>Very Low</t>
  </si>
  <si>
    <t>Loss of business continuity</t>
  </si>
  <si>
    <t>Data loss</t>
  </si>
  <si>
    <t>Mistaking compliance for protection</t>
  </si>
  <si>
    <t>Regulatory fines</t>
  </si>
  <si>
    <t>Outdated hardware</t>
  </si>
  <si>
    <t>Cloud vulnerabilities</t>
  </si>
  <si>
    <t>Ransomware</t>
  </si>
  <si>
    <t>Malware</t>
  </si>
  <si>
    <t>Attacks on IoT devices</t>
  </si>
  <si>
    <t>Operational downtime</t>
  </si>
  <si>
    <t>DDoS</t>
  </si>
  <si>
    <t>Underestimation of risk occurrence probability</t>
  </si>
  <si>
    <t>Partial risk assessment</t>
  </si>
  <si>
    <t>Improper risk management</t>
  </si>
  <si>
    <t>Improper incident response</t>
  </si>
  <si>
    <t>Third party exposure</t>
  </si>
  <si>
    <t>Document Control</t>
  </si>
  <si>
    <t>Classification</t>
  </si>
  <si>
    <t>Version control</t>
  </si>
  <si>
    <t>Version</t>
  </si>
  <si>
    <t>Date</t>
  </si>
  <si>
    <t>Updated By</t>
  </si>
  <si>
    <t>Version Details</t>
  </si>
  <si>
    <t>Samara Risha</t>
  </si>
  <si>
    <t>First version of the Risk assessment</t>
  </si>
  <si>
    <t>Legend</t>
  </si>
  <si>
    <t>Column name</t>
  </si>
  <si>
    <t>Description</t>
  </si>
  <si>
    <t>Unique number assigned to Risk</t>
  </si>
  <si>
    <t>Area in which the risk was identified</t>
  </si>
  <si>
    <t>Head of organization or asset and process owner for which a risk was identified</t>
  </si>
  <si>
    <t>Risk description</t>
  </si>
  <si>
    <t>Description of the cause of the inherent risk</t>
  </si>
  <si>
    <t>Description of the threat arising from the risk</t>
  </si>
  <si>
    <t>Description of the possible consequences of the risk and information about the timescale in which they can happen.</t>
  </si>
  <si>
    <t>Last date when risk has been identified and assessed</t>
  </si>
  <si>
    <t>Quantitative evaluation of the inherent risk likelihood</t>
  </si>
  <si>
    <t>Quantitative evaluation of the inherent risk magnitude/impact</t>
  </si>
  <si>
    <t>Overall evaluation of the inherent risk (calculated automatically)</t>
  </si>
  <si>
    <t>Is the overall inherent risk rated OK? If not please provide a reason</t>
  </si>
  <si>
    <t>Information whether the risk owner accepts the risk evaluation or not and reason description in case of a mismatch</t>
  </si>
  <si>
    <t>Overall evaluation of inherent risk and need for treatment actions provided manually by the risk owner in case of a mismatch</t>
  </si>
  <si>
    <t>Type of treatment action chosen for the risk</t>
  </si>
  <si>
    <t>Description of treatment actions which will be taken</t>
  </si>
  <si>
    <t>Person responsible for implementing and monitoring of the treatment action</t>
  </si>
  <si>
    <t>Deadline for implementing the treatment action</t>
  </si>
  <si>
    <t>Quantitative evaluation of the residual risk likelihood</t>
  </si>
  <si>
    <t>Quantitative evaluation of the residual risk magnitude/impact</t>
  </si>
  <si>
    <t>Overall residual risk rating</t>
  </si>
  <si>
    <t>Overall evaluation of the residual risk (calculated automatically)</t>
  </si>
  <si>
    <t>Description of the steps which will follow implementation of the treatment action</t>
  </si>
  <si>
    <t>Date of last evaluation of the residual risk</t>
  </si>
  <si>
    <t>Place for any additional related comments (for example description of relation between different risks)</t>
  </si>
  <si>
    <t>Inherent risk register heat map</t>
  </si>
  <si>
    <t>Residual risk register heat map</t>
  </si>
  <si>
    <t>Risk impact</t>
  </si>
  <si>
    <t>Very low</t>
  </si>
  <si>
    <t>Risk likelihood</t>
  </si>
  <si>
    <t xml:space="preserve"> </t>
  </si>
  <si>
    <t>Inherent risk</t>
  </si>
  <si>
    <t>Residual risk</t>
  </si>
  <si>
    <t>23/02/2025</t>
  </si>
  <si>
    <t>Regulatory penalties</t>
  </si>
  <si>
    <t>Non Compliant with CBE - PCI</t>
  </si>
  <si>
    <t xml:space="preserve">Fines will be applied if the risk is mitigated </t>
  </si>
  <si>
    <t>Sara Asharaf Ibrahim Gamal</t>
  </si>
  <si>
    <t xml:space="preserve">Unauthirzed administrative access </t>
  </si>
  <si>
    <t>Vulnarabile Sosfrware</t>
  </si>
  <si>
    <t xml:space="preserve">Stealing the session cookies from the embloyees can lead to unauthirzed administrative access </t>
  </si>
  <si>
    <t xml:space="preserve">Reflected XSS attackers can use to steel session tokens from the embloyees in the browser of T24 </t>
  </si>
  <si>
    <t>Ibrahim Gamal Samara Risha</t>
  </si>
  <si>
    <t>apply the Input Validation untill we can Installing the latest updates and patches of T24</t>
  </si>
  <si>
    <t xml:space="preserve">The inpult validation can reduce the risk but still won't be affective until we install the latest updated version </t>
  </si>
  <si>
    <t>medium</t>
  </si>
  <si>
    <t>Monitor implementation of the controls and residual risk and installing the updates</t>
  </si>
  <si>
    <t>Hossam Badr</t>
  </si>
  <si>
    <t xml:space="preserve">Unzuthirzed access to the DB </t>
  </si>
  <si>
    <t xml:space="preserve">Overpriveliged users </t>
  </si>
  <si>
    <t>Insider threat</t>
  </si>
  <si>
    <t xml:space="preserve">Some users with lower privilges usually get higher priviliges </t>
  </si>
  <si>
    <t xml:space="preserve">Hossam Badr Mohamed Rgab </t>
  </si>
  <si>
    <t>14/3/2025</t>
  </si>
  <si>
    <t xml:space="preserve">We should apply the Least privilage principle and applying the permission approval policy when giving user's higher priviliges </t>
  </si>
  <si>
    <t xml:space="preserve">When applying the the principle and the policy , it will reduce the risk and nearly eliminate it </t>
  </si>
  <si>
    <t>Implementing the the controls mentioned in the risk treatment document</t>
  </si>
  <si>
    <t>15/3/2026</t>
  </si>
  <si>
    <t>Amira Zaki</t>
  </si>
  <si>
    <t xml:space="preserve">APT planning to start a phising campagin , sending mailcous emails to the customers </t>
  </si>
  <si>
    <t xml:space="preserve">Lack of Awareness , Email gateway can't fully detect phising emails </t>
  </si>
  <si>
    <t>Data theft / Unzuthrized access / Creidentials theft</t>
  </si>
  <si>
    <t xml:space="preserve">Successful attempts can lead to the employees crediential theft or data leakge or downloading mailcous files that will harm the system </t>
  </si>
  <si>
    <t>21/7/2025</t>
  </si>
  <si>
    <t>20/7/2025</t>
  </si>
  <si>
    <t>Conducting awareness sessions to the employees</t>
  </si>
  <si>
    <t xml:space="preserve">Amira Zaki Samara Risha </t>
  </si>
  <si>
    <t>30./8/2025</t>
  </si>
  <si>
    <t xml:space="preserve">sending the employees warning through their emails about the phishing campaings until we start conducting the awareness </t>
  </si>
  <si>
    <t xml:space="preserve">Start conducting the awareness sessions </t>
  </si>
  <si>
    <t>24/7/2025</t>
  </si>
  <si>
    <t>ATM Network – 18 ATMs running Windows 10 IoT End-of-Life OS. No security patches available.</t>
  </si>
  <si>
    <t>Ne Security Patches Avilable</t>
  </si>
  <si>
    <t>Nour Eldin</t>
  </si>
  <si>
    <t xml:space="preserve">Any undiscovered Vulnrababilites can be exploited </t>
  </si>
  <si>
    <t>26/10/2026</t>
  </si>
  <si>
    <t>It won't work that much cuz we still need the updates</t>
  </si>
  <si>
    <t>Installing the updates</t>
  </si>
  <si>
    <t>15/8/2026</t>
  </si>
  <si>
    <t>There is a risk that an attacker will exploit the pinning bypass vulnerability during a MITM attack.</t>
  </si>
  <si>
    <t>This would result in the exposure of sensitive Cardholder Data (CHD) and Authentication Credentials in plain text.</t>
  </si>
  <si>
    <t>\Certificate Pinning Bypass (The app fails to strictly validate the server’s unique identity, or the pinning mechanism is easily disabled by tools like Frida</t>
  </si>
  <si>
    <t>APTs and Skilled threat actors can bybasse the certificates of the users</t>
  </si>
  <si>
    <t>20/8/2026</t>
  </si>
  <si>
    <t>Nader Saleh</t>
  </si>
  <si>
    <t>Development team to implement strict certificate pinning in next mobile app release (v3.2).</t>
  </si>
  <si>
    <t>21/82026</t>
  </si>
  <si>
    <t>30/8/2026</t>
  </si>
  <si>
    <t>25/8/2026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</si>
</sst>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22" x14ac:knownFonts="1">
    <font>
      <sz val="11"/>
      <color theme="1"/>
      <name val="Calibri"/>
    </font>
    <font>
      <sz val="11"/>
      <color theme="1"/>
      <name val="Calibri"/>
      <family val="2"/>
    </font>
    <font>
      <sz val="11"/>
      <color theme="1"/>
      <name val="Arial"/>
      <family val="2"/>
    </font>
    <font>
      <sz val="11"/>
      <color theme="1"/>
      <name val="Calibri"/>
      <family val="2"/>
    </font>
    <font>
      <sz val="11"/>
      <color theme="1"/>
      <name val="Calibri"/>
      <family val="2"/>
      <charset val="238"/>
    </font>
    <font>
      <sz val="11"/>
      <color theme="1"/>
      <name val="Arial"/>
      <family val="2"/>
      <charset val="238"/>
    </font>
    <font>
      <sz val="31"/>
      <color rgb="FF2B3B82"/>
      <name val="Arial"/>
      <family val="2"/>
      <charset val="238"/>
    </font>
    <font>
      <sz val="12"/>
      <color theme="1"/>
      <name val="Arial"/>
      <family val="2"/>
      <charset val="238"/>
    </font>
    <font>
      <sz val="12"/>
      <name val="Arial"/>
      <family val="2"/>
      <charset val="238"/>
    </font>
    <font>
      <sz val="11"/>
      <color rgb="FFFF0000"/>
      <name val="Arial"/>
      <family val="2"/>
      <charset val="238"/>
    </font>
    <font>
      <sz val="11"/>
      <color theme="0"/>
      <name val="Arial"/>
      <family val="2"/>
      <charset val="238"/>
    </font>
    <font>
      <b/>
      <sz val="12"/>
      <color rgb="FFFFFFFF"/>
      <name val="Arial"/>
      <family val="2"/>
      <charset val="238"/>
    </font>
    <font>
      <sz val="16"/>
      <color rgb="FF2B3B82"/>
      <name val="Arial"/>
      <family val="2"/>
      <charset val="238"/>
    </font>
    <font>
      <sz val="12"/>
      <color theme="0"/>
      <name val="Arial"/>
      <family val="2"/>
      <charset val="238"/>
    </font>
    <font>
      <b/>
      <sz val="12"/>
      <color rgb="FFFFFFFF"/>
      <name val="Arial"/>
      <family val="2"/>
    </font>
    <font>
      <b/>
      <sz val="12"/>
      <color theme="0"/>
      <name val="Arial"/>
      <family val="2"/>
    </font>
    <font>
      <sz val="12"/>
      <color theme="4"/>
      <name val="Arial"/>
      <family val="2"/>
      <charset val="238"/>
    </font>
    <font>
      <sz val="11"/>
      <color theme="4"/>
      <name val="Arial"/>
      <family val="2"/>
      <charset val="238"/>
    </font>
    <font>
      <b/>
      <sz val="12"/>
      <color theme="4"/>
      <name val="Arial"/>
      <family val="2"/>
      <charset val="238"/>
    </font>
    <font>
      <i/>
      <sz val="12"/>
      <color theme="4"/>
      <name val="Arial"/>
      <family val="2"/>
      <charset val="238"/>
    </font>
    <font>
      <b/>
      <sz val="12"/>
      <color theme="4"/>
      <name val="Arial"/>
      <family val="2"/>
    </font>
    <font>
      <sz val="16"/>
      <color theme="4"/>
      <name val="Arial"/>
      <family val="2"/>
      <charset val="238"/>
    </font>
  </fonts>
  <fills count="17">
    <fill>
      <patternFill patternType="none"/>
    </fill>
    <fill>
      <patternFill patternType="gray125"/>
    </fill>
    <fill>
      <patternFill patternType="solid">
        <fgColor theme="0"/>
        <bgColor theme="0"/>
      </patternFill>
    </fill>
    <fill>
      <patternFill patternType="solid">
        <fgColor rgb="FFCCCCCC"/>
        <bgColor rgb="FFCCCCCC"/>
      </patternFill>
    </fill>
    <fill>
      <patternFill patternType="solid">
        <fgColor rgb="FFDCDCE0"/>
        <bgColor rgb="FFDCDCE0"/>
      </patternFill>
    </fill>
    <fill>
      <patternFill patternType="solid">
        <fgColor rgb="FFCCCCCC"/>
        <bgColor indexed="64"/>
      </patternFill>
    </fill>
    <fill>
      <patternFill patternType="solid">
        <fgColor rgb="FFCCCCCC"/>
        <bgColor rgb="FFD8D8D8"/>
      </patternFill>
    </fill>
    <fill>
      <patternFill patternType="solid">
        <fgColor theme="9" tint="0.39997558519241921"/>
        <bgColor theme="0"/>
      </patternFill>
    </fill>
    <fill>
      <patternFill patternType="solid">
        <fgColor rgb="FFFF5050"/>
        <bgColor indexed="64"/>
      </patternFill>
    </fill>
    <fill>
      <patternFill patternType="solid">
        <fgColor rgb="FFFF9900"/>
        <bgColor indexed="64"/>
      </patternFill>
    </fill>
    <fill>
      <patternFill patternType="solid">
        <fgColor rgb="FFFFCC00"/>
        <bgColor indexed="64"/>
      </patternFill>
    </fill>
    <fill>
      <patternFill patternType="solid">
        <fgColor rgb="FFFFFF00"/>
        <bgColor indexed="64"/>
      </patternFill>
    </fill>
    <fill>
      <patternFill patternType="solid">
        <fgColor rgb="FFFFFF80"/>
        <bgColor indexed="64"/>
      </patternFill>
    </fill>
    <fill>
      <patternFill patternType="solid">
        <fgColor rgb="FFDCDCE0"/>
        <bgColor indexed="64"/>
      </patternFill>
    </fill>
    <fill>
      <patternFill patternType="solid">
        <fgColor rgb="FF373E49"/>
        <bgColor rgb="FF2D3982"/>
      </patternFill>
    </fill>
    <fill>
      <patternFill patternType="solid">
        <fgColor rgb="FFD9D9D9"/>
        <bgColor rgb="FF00B8AD"/>
      </patternFill>
    </fill>
    <fill>
      <patternFill patternType="solid">
        <fgColor rgb="FFD9D9D9"/>
        <bgColor rgb="FF00B9AD"/>
      </patternFill>
    </fill>
  </fills>
  <borders count="2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style="thin">
        <color rgb="FF000000"/>
      </bottom>
      <diagonal/>
    </border>
  </borders>
  <cellStyleXfs count="1">
    <xf numFmtId="0" fontId="0" fillId="0" borderId="4"/>
  </cellStyleXfs>
  <cellXfs count="113">
    <xf numFmtId="0" fontId="0" fillId="0" borderId="0" xfId="0" applyBorder="1"/>
    <xf numFmtId="0" fontId="1" fillId="0" borderId="0" xfId="0" applyFont="1" applyBorder="1"/>
    <xf numFmtId="0" fontId="2" fillId="3" borderId="0" xfId="0" applyFont="1" applyFill="1" applyBorder="1"/>
    <xf numFmtId="0" fontId="1" fillId="3" borderId="0" xfId="0" applyFont="1" applyFill="1" applyBorder="1"/>
    <xf numFmtId="0" fontId="0" fillId="2" borderId="4" xfId="0" applyFill="1" applyAlignment="1">
      <alignment wrapText="1"/>
    </xf>
    <xf numFmtId="0" fontId="5" fillId="2" borderId="1" xfId="0" applyFont="1" applyFill="1" applyBorder="1"/>
    <xf numFmtId="0" fontId="5" fillId="2" borderId="2" xfId="0" applyFont="1" applyFill="1" applyBorder="1"/>
    <xf numFmtId="0" fontId="5" fillId="2" borderId="3" xfId="0" applyFont="1" applyFill="1" applyBorder="1"/>
    <xf numFmtId="0" fontId="5" fillId="2" borderId="11" xfId="0" applyFont="1" applyFill="1" applyBorder="1"/>
    <xf numFmtId="0" fontId="5" fillId="2" borderId="4" xfId="0" applyFont="1" applyFill="1"/>
    <xf numFmtId="0" fontId="5" fillId="2" borderId="12" xfId="0" applyFont="1" applyFill="1" applyBorder="1"/>
    <xf numFmtId="0" fontId="5" fillId="2" borderId="4" xfId="0" applyFont="1" applyFill="1" applyAlignment="1">
      <alignment vertical="center"/>
    </xf>
    <xf numFmtId="0" fontId="9" fillId="2" borderId="4" xfId="0" applyFont="1" applyFill="1" applyAlignment="1">
      <alignment horizontal="left" vertical="center"/>
    </xf>
    <xf numFmtId="0" fontId="5" fillId="2" borderId="4" xfId="0" applyFont="1" applyFill="1" applyAlignment="1">
      <alignment horizontal="left" vertical="center"/>
    </xf>
    <xf numFmtId="49" fontId="5" fillId="2" borderId="4" xfId="0" applyNumberFormat="1" applyFont="1" applyFill="1" applyAlignment="1">
      <alignment horizontal="right" vertical="center"/>
    </xf>
    <xf numFmtId="0" fontId="5" fillId="2" borderId="5" xfId="0" applyFont="1" applyFill="1" applyBorder="1"/>
    <xf numFmtId="0" fontId="10" fillId="2" borderId="6" xfId="0" applyFont="1" applyFill="1" applyBorder="1"/>
    <xf numFmtId="0" fontId="5" fillId="2" borderId="6" xfId="0" applyFont="1" applyFill="1" applyBorder="1"/>
    <xf numFmtId="0" fontId="5" fillId="2" borderId="7" xfId="0" applyFont="1" applyFill="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4" xfId="0" applyFont="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5" borderId="0" xfId="0" applyFont="1" applyFill="1" applyBorder="1"/>
    <xf numFmtId="0" fontId="0" fillId="5" borderId="0" xfId="0" applyFill="1" applyBorder="1"/>
    <xf numFmtId="0" fontId="5" fillId="6" borderId="4" xfId="0" applyFont="1" applyFill="1"/>
    <xf numFmtId="0" fontId="5" fillId="5" borderId="0" xfId="0" applyFont="1" applyFill="1" applyBorder="1"/>
    <xf numFmtId="0" fontId="0" fillId="6" borderId="4" xfId="0" applyFill="1" applyAlignment="1">
      <alignment wrapText="1"/>
    </xf>
    <xf numFmtId="0" fontId="0" fillId="6" borderId="4" xfId="0" applyFill="1" applyAlignment="1">
      <alignment horizontal="right" vertical="center" wrapText="1"/>
    </xf>
    <xf numFmtId="0" fontId="0" fillId="6" borderId="4" xfId="0" applyFill="1" applyAlignment="1">
      <alignment vertical="center" wrapText="1"/>
    </xf>
    <xf numFmtId="0" fontId="7" fillId="0" borderId="18" xfId="0" applyFont="1" applyBorder="1"/>
    <xf numFmtId="0" fontId="0" fillId="2" borderId="15" xfId="0" applyFill="1" applyBorder="1" applyAlignment="1">
      <alignment wrapText="1"/>
    </xf>
    <xf numFmtId="0" fontId="0" fillId="2" borderId="16" xfId="0" applyFill="1" applyBorder="1" applyAlignment="1">
      <alignment wrapText="1"/>
    </xf>
    <xf numFmtId="0" fontId="0" fillId="2" borderId="16" xfId="0" applyFill="1" applyBorder="1" applyAlignment="1">
      <alignment vertical="center" wrapText="1"/>
    </xf>
    <xf numFmtId="0" fontId="0" fillId="2" borderId="17" xfId="0" applyFill="1" applyBorder="1" applyAlignment="1">
      <alignment wrapText="1"/>
    </xf>
    <xf numFmtId="0" fontId="0" fillId="2" borderId="18" xfId="0" applyFill="1" applyBorder="1" applyAlignment="1">
      <alignment wrapText="1"/>
    </xf>
    <xf numFmtId="0" fontId="0" fillId="2" borderId="19" xfId="0" applyFill="1" applyBorder="1" applyAlignment="1">
      <alignment wrapText="1"/>
    </xf>
    <xf numFmtId="0" fontId="7" fillId="0" borderId="13" xfId="0" applyFont="1" applyBorder="1"/>
    <xf numFmtId="0" fontId="7" fillId="2" borderId="18" xfId="0" applyFont="1" applyFill="1" applyBorder="1" applyAlignment="1">
      <alignment wrapText="1"/>
    </xf>
    <xf numFmtId="0" fontId="7" fillId="0" borderId="13" xfId="0" applyFont="1" applyBorder="1" applyAlignment="1">
      <alignment horizontal="center" vertical="center" wrapText="1"/>
    </xf>
    <xf numFmtId="0" fontId="13" fillId="2" borderId="18" xfId="0" applyFont="1" applyFill="1" applyBorder="1" applyAlignment="1">
      <alignment wrapText="1"/>
    </xf>
    <xf numFmtId="0" fontId="7" fillId="0" borderId="14" xfId="0" applyFont="1" applyBorder="1"/>
    <xf numFmtId="0" fontId="4" fillId="0" borderId="0" xfId="0" applyFont="1" applyBorder="1"/>
    <xf numFmtId="0" fontId="7" fillId="11" borderId="4" xfId="0" applyFont="1" applyFill="1" applyAlignment="1">
      <alignment horizontal="center" vertical="center"/>
    </xf>
    <xf numFmtId="0" fontId="7" fillId="10" borderId="4" xfId="0" applyFont="1" applyFill="1" applyAlignment="1">
      <alignment horizontal="center" vertical="center"/>
    </xf>
    <xf numFmtId="0" fontId="7" fillId="9" borderId="4" xfId="0" applyFont="1" applyFill="1" applyAlignment="1">
      <alignment horizontal="center" vertical="center"/>
    </xf>
    <xf numFmtId="0" fontId="7" fillId="8" borderId="4" xfId="0" applyFont="1" applyFill="1" applyAlignment="1">
      <alignment horizontal="center" vertical="center"/>
    </xf>
    <xf numFmtId="0" fontId="7" fillId="12" borderId="4" xfId="0" applyFont="1" applyFill="1" applyAlignment="1">
      <alignment horizontal="center" vertical="center"/>
    </xf>
    <xf numFmtId="0" fontId="0" fillId="0" borderId="20" xfId="0" applyBorder="1"/>
    <xf numFmtId="0" fontId="0" fillId="0" borderId="21" xfId="0" applyBorder="1"/>
    <xf numFmtId="0" fontId="0" fillId="0" borderId="22" xfId="0" applyBorder="1"/>
    <xf numFmtId="0" fontId="3" fillId="0" borderId="20" xfId="0" applyFont="1" applyBorder="1"/>
    <xf numFmtId="0" fontId="7" fillId="13" borderId="13" xfId="0" applyFont="1" applyFill="1" applyBorder="1" applyAlignment="1">
      <alignment horizontal="center" vertical="center" wrapText="1"/>
    </xf>
    <xf numFmtId="0" fontId="5" fillId="2" borderId="4" xfId="0" applyFont="1" applyFill="1" applyAlignment="1">
      <alignment horizontal="left"/>
    </xf>
    <xf numFmtId="0" fontId="0" fillId="0" borderId="4" xfId="0"/>
    <xf numFmtId="0" fontId="0" fillId="0" borderId="18" xfId="0" applyBorder="1"/>
    <xf numFmtId="0" fontId="0" fillId="0" borderId="19" xfId="0" applyBorder="1"/>
    <xf numFmtId="0" fontId="8" fillId="0" borderId="4" xfId="0" applyFont="1" applyAlignment="1">
      <alignment horizontal="center" vertical="center"/>
    </xf>
    <xf numFmtId="164" fontId="7" fillId="0" borderId="13" xfId="0" applyNumberFormat="1" applyFont="1" applyBorder="1" applyAlignment="1">
      <alignment horizontal="center" vertical="center" wrapText="1"/>
    </xf>
    <xf numFmtId="0" fontId="7" fillId="0" borderId="14" xfId="0" applyFont="1" applyBorder="1" applyAlignment="1">
      <alignment horizontal="center" vertical="center"/>
    </xf>
    <xf numFmtId="0" fontId="15" fillId="14" borderId="13" xfId="0" applyFont="1" applyFill="1" applyBorder="1" applyAlignment="1">
      <alignment horizontal="center" vertical="center" wrapText="1"/>
    </xf>
    <xf numFmtId="0" fontId="16" fillId="2" borderId="4" xfId="0" applyFont="1" applyFill="1" applyAlignment="1">
      <alignment horizontal="left" vertical="center"/>
    </xf>
    <xf numFmtId="165" fontId="16" fillId="2" borderId="4" xfId="0" applyNumberFormat="1" applyFont="1" applyFill="1" applyAlignment="1">
      <alignment horizontal="left" vertical="center"/>
    </xf>
    <xf numFmtId="164" fontId="16" fillId="0" borderId="4" xfId="0" applyNumberFormat="1" applyFont="1" applyAlignment="1">
      <alignment horizontal="center" vertical="center" wrapText="1"/>
    </xf>
    <xf numFmtId="0" fontId="16" fillId="15" borderId="13" xfId="0" applyFont="1" applyFill="1" applyBorder="1" applyAlignment="1">
      <alignment horizontal="center"/>
    </xf>
    <xf numFmtId="0" fontId="16" fillId="15" borderId="8" xfId="0" applyFont="1" applyFill="1" applyBorder="1" applyAlignment="1">
      <alignment horizontal="center"/>
    </xf>
    <xf numFmtId="0" fontId="16" fillId="15" borderId="14" xfId="0" applyFont="1" applyFill="1" applyBorder="1" applyAlignment="1">
      <alignment horizontal="center"/>
    </xf>
    <xf numFmtId="0" fontId="18" fillId="15" borderId="13" xfId="0" applyFont="1" applyFill="1" applyBorder="1" applyAlignment="1">
      <alignment horizontal="center"/>
    </xf>
    <xf numFmtId="0" fontId="19" fillId="0" borderId="13" xfId="0" applyFont="1" applyBorder="1" applyAlignment="1">
      <alignment wrapText="1"/>
    </xf>
    <xf numFmtId="0" fontId="20" fillId="16" borderId="13" xfId="0" applyFont="1" applyFill="1" applyBorder="1" applyAlignment="1">
      <alignment horizontal="center" vertical="center" wrapText="1"/>
    </xf>
    <xf numFmtId="0" fontId="16" fillId="0" borderId="13" xfId="0" applyFont="1" applyBorder="1" applyAlignment="1">
      <alignment horizontal="center" vertical="center" wrapText="1"/>
    </xf>
    <xf numFmtId="164" fontId="16" fillId="0" borderId="13" xfId="0" applyNumberFormat="1" applyFont="1" applyBorder="1" applyAlignment="1">
      <alignment horizontal="center" vertical="center" wrapText="1"/>
    </xf>
    <xf numFmtId="0" fontId="16" fillId="4" borderId="13" xfId="0" applyFont="1" applyFill="1" applyBorder="1" applyAlignment="1">
      <alignment horizontal="center" vertical="center" wrapText="1"/>
    </xf>
    <xf numFmtId="14" fontId="16" fillId="4" borderId="13" xfId="0" applyNumberFormat="1" applyFont="1" applyFill="1" applyBorder="1" applyAlignment="1">
      <alignment horizontal="center" vertical="center" wrapText="1"/>
    </xf>
    <xf numFmtId="14" fontId="16" fillId="0" borderId="13" xfId="0" applyNumberFormat="1" applyFont="1" applyBorder="1" applyAlignment="1">
      <alignment horizontal="center" vertical="center" wrapText="1"/>
    </xf>
    <xf numFmtId="0" fontId="16" fillId="0" borderId="4" xfId="0" applyFont="1" applyAlignment="1">
      <alignment horizontal="center" vertical="center" textRotation="90"/>
    </xf>
    <xf numFmtId="0" fontId="16" fillId="0" borderId="4" xfId="0" applyFont="1" applyAlignment="1">
      <alignment horizontal="center" vertical="center"/>
    </xf>
    <xf numFmtId="20" fontId="0" fillId="2" borderId="18" xfId="0" applyNumberFormat="1" applyFill="1" applyBorder="1" applyAlignment="1">
      <alignment wrapText="1"/>
    </xf>
    <xf numFmtId="16" fontId="16" fillId="0" borderId="13" xfId="0" applyNumberFormat="1" applyFont="1" applyBorder="1" applyAlignment="1">
      <alignment horizontal="center" vertical="center" wrapText="1"/>
    </xf>
    <xf numFmtId="0" fontId="9" fillId="2" borderId="4" xfId="0" applyFont="1" applyFill="1" applyAlignment="1">
      <alignment horizontal="center" vertical="center" wrapText="1"/>
    </xf>
    <xf numFmtId="0" fontId="5" fillId="5" borderId="0" xfId="0" applyFont="1" applyFill="1" applyBorder="1"/>
    <xf numFmtId="0" fontId="6" fillId="2" borderId="26" xfId="0" applyFont="1" applyFill="1" applyBorder="1" applyAlignment="1">
      <alignment horizontal="center" vertical="center"/>
    </xf>
    <xf numFmtId="0" fontId="0" fillId="0" borderId="12" xfId="0" applyBorder="1"/>
    <xf numFmtId="0" fontId="16" fillId="2" borderId="4" xfId="0" applyFont="1" applyFill="1" applyAlignment="1">
      <alignment horizontal="left"/>
    </xf>
    <xf numFmtId="0" fontId="5" fillId="2" borderId="4" xfId="0" applyFont="1" applyFill="1" applyAlignment="1">
      <alignment horizontal="left"/>
    </xf>
    <xf numFmtId="0" fontId="12" fillId="7" borderId="26" xfId="0" applyFont="1" applyFill="1" applyBorder="1" applyAlignment="1">
      <alignment horizontal="center" vertical="top"/>
    </xf>
    <xf numFmtId="0" fontId="17" fillId="2" borderId="4" xfId="0" applyFont="1" applyFill="1" applyAlignment="1">
      <alignment horizontal="left"/>
    </xf>
    <xf numFmtId="0" fontId="0" fillId="0" borderId="4" xfId="0"/>
    <xf numFmtId="0" fontId="0" fillId="5" borderId="0" xfId="0" applyFill="1" applyBorder="1"/>
    <xf numFmtId="0" fontId="16" fillId="15" borderId="14" xfId="0" applyFont="1" applyFill="1" applyBorder="1" applyAlignment="1">
      <alignment horizontal="center"/>
    </xf>
    <xf numFmtId="0" fontId="0" fillId="0" borderId="23" xfId="0" applyBorder="1"/>
    <xf numFmtId="0" fontId="7" fillId="0" borderId="14" xfId="0" applyFont="1" applyBorder="1" applyAlignment="1">
      <alignment horizontal="center"/>
    </xf>
    <xf numFmtId="0" fontId="11" fillId="14" borderId="13" xfId="0" applyFont="1" applyFill="1" applyBorder="1" applyAlignment="1">
      <alignment horizontal="center"/>
    </xf>
    <xf numFmtId="0" fontId="0" fillId="0" borderId="9" xfId="0" applyBorder="1"/>
    <xf numFmtId="0" fontId="0" fillId="0" borderId="10" xfId="0" applyBorder="1"/>
    <xf numFmtId="0" fontId="18" fillId="15" borderId="13" xfId="0" applyFont="1" applyFill="1" applyBorder="1" applyAlignment="1">
      <alignment horizontal="center"/>
    </xf>
    <xf numFmtId="0" fontId="8" fillId="0" borderId="27" xfId="0" applyFont="1" applyBorder="1" applyAlignment="1">
      <alignment horizontal="center"/>
    </xf>
    <xf numFmtId="0" fontId="0" fillId="0" borderId="24" xfId="0" applyBorder="1"/>
    <xf numFmtId="0" fontId="0" fillId="0" borderId="25" xfId="0" applyBorder="1"/>
    <xf numFmtId="0" fontId="7" fillId="0" borderId="27" xfId="0" applyFont="1" applyBorder="1" applyAlignment="1">
      <alignment horizontal="center"/>
    </xf>
    <xf numFmtId="0" fontId="19" fillId="0" borderId="13" xfId="0" applyFont="1" applyBorder="1" applyAlignment="1">
      <alignment wrapText="1"/>
    </xf>
    <xf numFmtId="0" fontId="19" fillId="0" borderId="13" xfId="0" applyFont="1" applyBorder="1" applyAlignment="1">
      <alignment horizontal="left" wrapText="1"/>
    </xf>
    <xf numFmtId="0" fontId="14" fillId="14" borderId="13" xfId="0" applyFont="1" applyFill="1" applyBorder="1" applyAlignment="1">
      <alignment horizontal="center" vertical="center" wrapText="1"/>
    </xf>
    <xf numFmtId="0" fontId="16" fillId="0" borderId="4" xfId="0" applyFont="1" applyAlignment="1">
      <alignment horizontal="center" vertical="center" textRotation="90"/>
    </xf>
    <xf numFmtId="0" fontId="21" fillId="0" borderId="4" xfId="0" applyFont="1" applyAlignment="1">
      <alignment horizontal="center"/>
    </xf>
    <xf numFmtId="0" fontId="16" fillId="0" borderId="4" xfId="0" applyFont="1" applyAlignment="1">
      <alignment horizontal="center" vertical="center"/>
    </xf>
    <xf numFmtId="0" fontId="0" fillId="0" borderId="4" xfId="0" applyAlignment="1">
      <alignment horizontal="center"/>
    </xf>
    <xf numFmtId="0" fontId="0" fillId="0" borderId="0" xfId="0" applyBorder="1"/>
  </cellXfs>
  <cellStyles count="1">
    <cellStyle name="Normal" xfId="0" builtinId="0"/>
  </cellStyles>
  <dxfs count="11">
    <dxf>
      <fill>
        <patternFill>
          <bgColor rgb="FFFF5050"/>
        </patternFill>
      </fill>
    </dxf>
    <dxf>
      <fill>
        <patternFill>
          <bgColor rgb="FFFF9900"/>
        </patternFill>
      </fill>
    </dxf>
    <dxf>
      <fill>
        <patternFill>
          <bgColor rgb="FFFFCC00"/>
        </patternFill>
      </fill>
    </dxf>
    <dxf>
      <fill>
        <patternFill patternType="solid">
          <bgColor rgb="FFFFFF00"/>
        </patternFill>
      </fill>
    </dxf>
    <dxf>
      <fill>
        <patternFill>
          <bgColor rgb="FFFFFF80"/>
        </patternFill>
      </fill>
    </dxf>
    <dxf>
      <fill>
        <patternFill>
          <bgColor rgb="FFFF5050"/>
        </patternFill>
      </fill>
    </dxf>
    <dxf>
      <fill>
        <patternFill>
          <bgColor rgb="FFFF9900"/>
        </patternFill>
      </fill>
    </dxf>
    <dxf>
      <fill>
        <patternFill>
          <bgColor rgb="FFFFCC00"/>
        </patternFill>
      </fill>
    </dxf>
    <dxf>
      <fill>
        <patternFill>
          <bgColor rgb="FFFFFF00"/>
        </patternFill>
      </fill>
    </dxf>
    <dxf>
      <fill>
        <patternFill>
          <bgColor rgb="FFFFFF80"/>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Overall inherent risks</a:t>
            </a:r>
          </a:p>
        </c:rich>
      </c:tx>
      <c:overlay val="0"/>
      <c:spPr>
        <a:noFill/>
        <a:ln>
          <a:noFill/>
          <a:prstDash val="solid"/>
        </a:ln>
      </c:spPr>
    </c:title>
    <c:autoTitleDeleted val="0"/>
    <c:plotArea>
      <c:layout/>
      <c:pieChart>
        <c:varyColors val="1"/>
        <c:ser>
          <c:idx val="0"/>
          <c:order val="0"/>
          <c:tx>
            <c:strRef>
              <c:f>'Summary of risks'!$C$2</c:f>
              <c:strCache>
                <c:ptCount val="1"/>
              </c:strCache>
            </c:strRef>
          </c:tx>
          <c:spPr>
            <a:ln>
              <a:prstDash val="solid"/>
            </a:ln>
          </c:spPr>
          <c:dPt>
            <c:idx val="0"/>
            <c:bubble3D val="0"/>
            <c:spPr>
              <a:solidFill>
                <a:srgbClr val="FF5050"/>
              </a:solidFill>
              <a:ln w="19050">
                <a:solidFill>
                  <a:schemeClr val="lt1"/>
                </a:solidFill>
                <a:prstDash val="solid"/>
              </a:ln>
            </c:spPr>
            <c:extLst>
              <c:ext xmlns:c16="http://schemas.microsoft.com/office/drawing/2014/chart" uri="{C3380CC4-5D6E-409C-BE32-E72D297353CC}">
                <c16:uniqueId val="{00000001-43AB-4CC8-B330-5837D1E35B41}"/>
              </c:ext>
            </c:extLst>
          </c:dPt>
          <c:dPt>
            <c:idx val="1"/>
            <c:bubble3D val="0"/>
            <c:spPr>
              <a:solidFill>
                <a:srgbClr val="FF9900"/>
              </a:solidFill>
              <a:ln w="19050">
                <a:solidFill>
                  <a:schemeClr val="lt1"/>
                </a:solidFill>
                <a:prstDash val="solid"/>
              </a:ln>
            </c:spPr>
            <c:extLst>
              <c:ext xmlns:c16="http://schemas.microsoft.com/office/drawing/2014/chart" uri="{C3380CC4-5D6E-409C-BE32-E72D297353CC}">
                <c16:uniqueId val="{00000003-43AB-4CC8-B330-5837D1E35B41}"/>
              </c:ext>
            </c:extLst>
          </c:dPt>
          <c:dPt>
            <c:idx val="2"/>
            <c:bubble3D val="0"/>
            <c:spPr>
              <a:solidFill>
                <a:srgbClr val="FFCC00"/>
              </a:solidFill>
              <a:ln w="19050">
                <a:solidFill>
                  <a:schemeClr val="lt1"/>
                </a:solidFill>
                <a:prstDash val="solid"/>
              </a:ln>
            </c:spPr>
            <c:extLst>
              <c:ext xmlns:c16="http://schemas.microsoft.com/office/drawing/2014/chart" uri="{C3380CC4-5D6E-409C-BE32-E72D297353CC}">
                <c16:uniqueId val="{00000005-43AB-4CC8-B330-5837D1E35B41}"/>
              </c:ext>
            </c:extLst>
          </c:dPt>
          <c:dPt>
            <c:idx val="3"/>
            <c:bubble3D val="0"/>
            <c:spPr>
              <a:solidFill>
                <a:srgbClr val="FFFF00"/>
              </a:solidFill>
              <a:ln w="19050">
                <a:solidFill>
                  <a:schemeClr val="lt1"/>
                </a:solidFill>
                <a:prstDash val="solid"/>
              </a:ln>
            </c:spPr>
            <c:extLst>
              <c:ext xmlns:c16="http://schemas.microsoft.com/office/drawing/2014/chart" uri="{C3380CC4-5D6E-409C-BE32-E72D297353CC}">
                <c16:uniqueId val="{00000007-43AB-4CC8-B330-5837D1E35B41}"/>
              </c:ext>
            </c:extLst>
          </c:dPt>
          <c:dPt>
            <c:idx val="4"/>
            <c:bubble3D val="0"/>
            <c:spPr>
              <a:solidFill>
                <a:srgbClr val="FFFF80"/>
              </a:solidFill>
              <a:ln w="19050">
                <a:solidFill>
                  <a:schemeClr val="lt1"/>
                </a:solidFill>
                <a:prstDash val="solid"/>
              </a:ln>
            </c:spPr>
            <c:extLst>
              <c:ext xmlns:c16="http://schemas.microsoft.com/office/drawing/2014/chart" uri="{C3380CC4-5D6E-409C-BE32-E72D297353CC}">
                <c16:uniqueId val="{00000009-43AB-4CC8-B330-5837D1E35B41}"/>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'Summary of risks'!$B$3:$B$7</c:f>
              <c:strCache>
                <c:ptCount val="5"/>
                <c:pt idx="0">
                  <c:v>Critical</c:v>
                </c:pt>
                <c:pt idx="1">
                  <c:v>High</c:v>
                </c:pt>
                <c:pt idx="2">
                  <c:v>Medium</c:v>
                </c:pt>
                <c:pt idx="3">
                  <c:v>Low</c:v>
                </c:pt>
                <c:pt idx="4">
                  <c:v>Very Low</c:v>
                </c:pt>
              </c:strCache>
            </c:strRef>
          </c:cat>
          <c:val>
            <c:numRef>
              <c:f>'Summary of risks'!$C$3:$C$7</c:f>
              <c:numCache>
                <c:formatCode>General</c:formatCode>
                <c:ptCount val="5"/>
                <c:pt idx="0">
                  <c:v>7</c:v>
                </c:pt>
                <c:pt idx="1">
                  <c:v>1</c:v>
                </c:pt>
                <c:pt idx="2">
                  <c:v>0</c:v>
                </c:pt>
                <c:pt idx="3">
                  <c:v>0</c:v>
                </c:pt>
                <c:pt idx="4">
                  <c:v>0</c:v>
                </c:pt>
              </c:numCache>
            </c:numRef>
          </c:val>
          <c:extLst>
            <c:ext xmlns:c16="http://schemas.microsoft.com/office/drawing/2014/chart" uri="{C3380CC4-5D6E-409C-BE32-E72D297353CC}">
              <c16:uniqueId val="{0000000A-43AB-4CC8-B330-5837D1E35B41}"/>
            </c:ext>
          </c:extLst>
        </c:ser>
        <c:dLbls>
          <c:dLblPos val="inEnd"/>
          <c:showLegendKey val="0"/>
          <c:showVal val="1"/>
          <c:showCatName val="0"/>
          <c:showSerName val="0"/>
          <c:showPercent val="0"/>
          <c:showBubbleSize val="0"/>
          <c:showLeaderLines val="1"/>
        </c:dLbls>
        <c:firstSliceAng val="0"/>
      </c:pieChart>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rPr lang="en-US"/>
              <a:t>Overall </a:t>
            </a:r>
            <a:r>
              <a:rPr lang="pl-PL"/>
              <a:t>residual</a:t>
            </a:r>
            <a:r>
              <a:rPr lang="en-US"/>
              <a:t> risks</a:t>
            </a:r>
          </a:p>
        </c:rich>
      </c:tx>
      <c:overlay val="0"/>
      <c:spPr>
        <a:noFill/>
        <a:ln>
          <a:noFill/>
          <a:prstDash val="solid"/>
        </a:ln>
      </c:spPr>
    </c:title>
    <c:autoTitleDeleted val="0"/>
    <c:plotArea>
      <c:layout/>
      <c:pieChart>
        <c:varyColors val="1"/>
        <c:ser>
          <c:idx val="0"/>
          <c:order val="0"/>
          <c:spPr>
            <a:ln>
              <a:prstDash val="solid"/>
            </a:ln>
          </c:spPr>
          <c:dPt>
            <c:idx val="0"/>
            <c:bubble3D val="0"/>
            <c:spPr>
              <a:solidFill>
                <a:srgbClr val="FF5050"/>
              </a:solidFill>
              <a:ln w="19050">
                <a:solidFill>
                  <a:schemeClr val="lt1"/>
                </a:solidFill>
                <a:prstDash val="solid"/>
              </a:ln>
            </c:spPr>
            <c:extLst>
              <c:ext xmlns:c16="http://schemas.microsoft.com/office/drawing/2014/chart" uri="{C3380CC4-5D6E-409C-BE32-E72D297353CC}">
                <c16:uniqueId val="{00000001-7572-4CFA-98EB-9BEC4D166B68}"/>
              </c:ext>
            </c:extLst>
          </c:dPt>
          <c:dPt>
            <c:idx val="1"/>
            <c:bubble3D val="0"/>
            <c:spPr>
              <a:solidFill>
                <a:srgbClr val="FF9900"/>
              </a:solidFill>
              <a:ln w="19050">
                <a:solidFill>
                  <a:schemeClr val="lt1"/>
                </a:solidFill>
                <a:prstDash val="solid"/>
              </a:ln>
            </c:spPr>
            <c:extLst>
              <c:ext xmlns:c16="http://schemas.microsoft.com/office/drawing/2014/chart" uri="{C3380CC4-5D6E-409C-BE32-E72D297353CC}">
                <c16:uniqueId val="{00000003-7572-4CFA-98EB-9BEC4D166B68}"/>
              </c:ext>
            </c:extLst>
          </c:dPt>
          <c:dPt>
            <c:idx val="2"/>
            <c:bubble3D val="0"/>
            <c:spPr>
              <a:solidFill>
                <a:srgbClr val="FFCC00"/>
              </a:solidFill>
              <a:ln w="19050">
                <a:solidFill>
                  <a:schemeClr val="lt1"/>
                </a:solidFill>
                <a:prstDash val="solid"/>
              </a:ln>
            </c:spPr>
            <c:extLst>
              <c:ext xmlns:c16="http://schemas.microsoft.com/office/drawing/2014/chart" uri="{C3380CC4-5D6E-409C-BE32-E72D297353CC}">
                <c16:uniqueId val="{00000005-7572-4CFA-98EB-9BEC4D166B68}"/>
              </c:ext>
            </c:extLst>
          </c:dPt>
          <c:dPt>
            <c:idx val="3"/>
            <c:bubble3D val="0"/>
            <c:spPr>
              <a:solidFill>
                <a:srgbClr val="FFFF00"/>
              </a:solidFill>
              <a:ln w="19050">
                <a:solidFill>
                  <a:schemeClr val="lt1"/>
                </a:solidFill>
                <a:prstDash val="solid"/>
              </a:ln>
            </c:spPr>
            <c:extLst>
              <c:ext xmlns:c16="http://schemas.microsoft.com/office/drawing/2014/chart" uri="{C3380CC4-5D6E-409C-BE32-E72D297353CC}">
                <c16:uniqueId val="{00000007-7572-4CFA-98EB-9BEC4D166B68}"/>
              </c:ext>
            </c:extLst>
          </c:dPt>
          <c:dPt>
            <c:idx val="4"/>
            <c:bubble3D val="0"/>
            <c:spPr>
              <a:solidFill>
                <a:srgbClr val="FFFF80"/>
              </a:solidFill>
              <a:ln w="19050">
                <a:solidFill>
                  <a:schemeClr val="lt1"/>
                </a:solidFill>
                <a:prstDash val="solid"/>
              </a:ln>
            </c:spPr>
            <c:extLst>
              <c:ext xmlns:c16="http://schemas.microsoft.com/office/drawing/2014/chart" uri="{C3380CC4-5D6E-409C-BE32-E72D297353CC}">
                <c16:uniqueId val="{00000009-7572-4CFA-98EB-9BEC4D166B68}"/>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extLst>
              <c:ext xmlns:c15="http://schemas.microsoft.com/office/drawing/2012/chart" uri="{CE6537A1-D6FC-4f65-9D91-7224C49458BB}"/>
            </c:extLst>
          </c:dLbls>
          <c:cat>
            <c:strRef>
              <c:f>'Summary of risks'!$E$3:$E$7</c:f>
              <c:strCache>
                <c:ptCount val="5"/>
                <c:pt idx="0">
                  <c:v>Critical</c:v>
                </c:pt>
                <c:pt idx="1">
                  <c:v>High</c:v>
                </c:pt>
                <c:pt idx="2">
                  <c:v>Medium</c:v>
                </c:pt>
                <c:pt idx="3">
                  <c:v>Low</c:v>
                </c:pt>
                <c:pt idx="4">
                  <c:v>Very Low</c:v>
                </c:pt>
              </c:strCache>
            </c:strRef>
          </c:cat>
          <c:val>
            <c:numRef>
              <c:f>'Summary of risks'!$F$3:$F$7</c:f>
              <c:numCache>
                <c:formatCode>General</c:formatCode>
                <c:ptCount val="5"/>
                <c:pt idx="0">
                  <c:v>1</c:v>
                </c:pt>
                <c:pt idx="1">
                  <c:v>0</c:v>
                </c:pt>
                <c:pt idx="2">
                  <c:v>5</c:v>
                </c:pt>
                <c:pt idx="3">
                  <c:v>1</c:v>
                </c:pt>
                <c:pt idx="4">
                  <c:v>1</c:v>
                </c:pt>
              </c:numCache>
            </c:numRef>
          </c:val>
          <c:extLst>
            <c:ext xmlns:c16="http://schemas.microsoft.com/office/drawing/2014/chart" uri="{C3380CC4-5D6E-409C-BE32-E72D297353CC}">
              <c16:uniqueId val="{0000000A-7572-4CFA-98EB-9BEC4D166B68}"/>
            </c:ext>
          </c:extLst>
        </c:ser>
        <c:dLbls>
          <c:dLblPos val="inEnd"/>
          <c:showLegendKey val="0"/>
          <c:showVal val="1"/>
          <c:showCatName val="0"/>
          <c:showSerName val="0"/>
          <c:showPercent val="0"/>
          <c:showBubbleSize val="0"/>
          <c:showLeaderLines val="1"/>
        </c:dLbls>
        <c:firstSliceAng val="0"/>
      </c:pieChart>
    </c:plotArea>
    <c:legend>
      <c:legendPos val="b"/>
      <c:overlay val="0"/>
      <c:spPr>
        <a:noFill/>
        <a:ln>
          <a:noFill/>
          <a:prstDash val="solid"/>
        </a:ln>
      </c:spPr>
      <c:txPr>
        <a:bodyPr rot="0" spcFirstLastPara="1" vertOverflow="ellipsis" vert="horz" wrap="square" anchor="ctr" anchorCtr="1"/>
        <a:lstStyle/>
        <a:p>
          <a:pPr rtl="0">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609600</xdr:colOff>
      <xdr:row>3</xdr:row>
      <xdr:rowOff>152400</xdr:rowOff>
    </xdr:from>
    <xdr:to>
      <xdr:col>6</xdr:col>
      <xdr:colOff>569595</xdr:colOff>
      <xdr:row>17</xdr:row>
      <xdr:rowOff>161925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2240280" y="723900"/>
          <a:ext cx="3305175" cy="267652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701040</xdr:colOff>
      <xdr:row>8</xdr:row>
      <xdr:rowOff>129540</xdr:rowOff>
    </xdr:from>
    <xdr:to>
      <xdr:col>6</xdr:col>
      <xdr:colOff>276225</xdr:colOff>
      <xdr:row>29</xdr:row>
      <xdr:rowOff>67584</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767715</xdr:colOff>
      <xdr:row>8</xdr:row>
      <xdr:rowOff>133350</xdr:rowOff>
    </xdr:from>
    <xdr:to>
      <xdr:col>12</xdr:col>
      <xdr:colOff>352425</xdr:colOff>
      <xdr:row>29</xdr:row>
      <xdr:rowOff>73299</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73E49"/>
      </a:accent1>
      <a:accent2>
        <a:srgbClr val="211261"/>
      </a:accent2>
      <a:accent3>
        <a:srgbClr val="515793"/>
      </a:accent3>
      <a:accent4>
        <a:srgbClr val="5DC4BB"/>
      </a:accent4>
      <a:accent5>
        <a:srgbClr val="555660"/>
      </a:accent5>
      <a:accent6>
        <a:srgbClr val="1DCAD3"/>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00B8AD"/>
    <pageSetUpPr autoPageBreaks="0" fitToPage="1"/>
  </sheetPr>
  <dimension ref="A1:Y999"/>
  <sheetViews>
    <sheetView topLeftCell="A10" workbookViewId="0">
      <selection activeCell="B12" sqref="B12"/>
    </sheetView>
  </sheetViews>
  <sheetFormatPr defaultColWidth="14.44140625" defaultRowHeight="15" customHeight="1" x14ac:dyDescent="0.25"/>
  <cols>
    <col min="1" max="1" width="51.44140625" style="31" customWidth="1"/>
    <col min="2" max="5" width="11.88671875" style="31" customWidth="1"/>
    <col min="6" max="6" width="13.109375" style="31" customWidth="1"/>
    <col min="7" max="8" width="11.88671875" style="31" customWidth="1"/>
    <col min="9" max="9" width="87" style="31" customWidth="1"/>
    <col min="10" max="10" width="4" style="31" customWidth="1"/>
    <col min="11" max="17" width="8.88671875" style="31" hidden="1" customWidth="1"/>
    <col min="18" max="25" width="8.88671875" style="31" customWidth="1"/>
    <col min="26" max="26" width="14.44140625" style="31" customWidth="1"/>
    <col min="27" max="16384" width="14.44140625" style="31"/>
  </cols>
  <sheetData>
    <row r="1" spans="1:25" ht="15" customHeight="1" x14ac:dyDescent="0.25">
      <c r="A1" s="5"/>
      <c r="B1" s="6"/>
      <c r="C1" s="6"/>
      <c r="D1" s="6"/>
      <c r="E1" s="6"/>
      <c r="F1" s="6"/>
      <c r="G1" s="6"/>
      <c r="H1" s="6"/>
      <c r="I1" s="7"/>
      <c r="J1" s="30"/>
      <c r="K1" s="30"/>
      <c r="L1" s="30"/>
      <c r="M1" s="30"/>
      <c r="N1" s="30"/>
      <c r="O1" s="30"/>
      <c r="P1" s="30"/>
      <c r="Q1" s="30"/>
      <c r="R1" s="30"/>
      <c r="S1" s="30"/>
      <c r="T1" s="30"/>
      <c r="U1" s="30"/>
      <c r="V1" s="30"/>
      <c r="W1" s="30"/>
      <c r="X1" s="30"/>
      <c r="Y1" s="30"/>
    </row>
    <row r="2" spans="1:25" ht="15" customHeight="1" x14ac:dyDescent="0.25">
      <c r="A2" s="8"/>
      <c r="B2" s="9"/>
      <c r="C2" s="9"/>
      <c r="D2" s="9"/>
      <c r="E2" s="9"/>
      <c r="F2" s="9"/>
      <c r="G2" s="9"/>
      <c r="H2" s="9"/>
      <c r="I2" s="10"/>
      <c r="J2" s="30"/>
      <c r="K2" s="30"/>
      <c r="L2" s="30"/>
      <c r="M2" s="30"/>
      <c r="N2" s="30"/>
      <c r="O2" s="30"/>
      <c r="P2" s="30"/>
      <c r="Q2" s="30"/>
      <c r="R2" s="30"/>
      <c r="S2" s="30"/>
      <c r="T2" s="30"/>
      <c r="U2" s="30"/>
      <c r="V2" s="30"/>
      <c r="W2" s="30"/>
      <c r="X2" s="30"/>
      <c r="Y2" s="30"/>
    </row>
    <row r="3" spans="1:25" ht="15" customHeight="1" x14ac:dyDescent="0.25">
      <c r="A3" s="8"/>
      <c r="B3" s="9"/>
      <c r="C3" s="9"/>
      <c r="D3" s="9"/>
      <c r="E3" s="9"/>
      <c r="F3" s="9"/>
      <c r="G3" s="9"/>
      <c r="H3" s="9"/>
      <c r="I3" s="10"/>
      <c r="J3" s="30"/>
      <c r="K3" s="30"/>
      <c r="L3" s="30"/>
      <c r="M3" s="30"/>
      <c r="N3" s="30"/>
      <c r="O3" s="30"/>
      <c r="P3" s="30"/>
      <c r="Q3" s="30"/>
      <c r="R3" s="30"/>
      <c r="S3" s="30"/>
      <c r="T3" s="30"/>
      <c r="U3" s="30"/>
      <c r="V3" s="30"/>
      <c r="W3" s="30"/>
      <c r="X3" s="30"/>
      <c r="Y3" s="30"/>
    </row>
    <row r="4" spans="1:25" ht="15" customHeight="1" x14ac:dyDescent="0.25">
      <c r="A4" s="8"/>
      <c r="B4" s="9"/>
      <c r="C4" s="9"/>
      <c r="D4" s="9"/>
      <c r="E4" s="9"/>
      <c r="F4" s="9"/>
      <c r="G4" s="9"/>
      <c r="H4" s="9"/>
      <c r="I4" s="10"/>
      <c r="J4" s="30"/>
      <c r="K4" s="30"/>
      <c r="L4" s="30"/>
      <c r="M4" s="30"/>
      <c r="N4" s="30"/>
      <c r="O4" s="30"/>
      <c r="P4" s="30"/>
      <c r="Q4" s="30"/>
      <c r="R4" s="30"/>
      <c r="S4" s="30"/>
      <c r="T4" s="30"/>
      <c r="U4" s="30"/>
      <c r="V4" s="30"/>
      <c r="W4" s="30"/>
      <c r="X4" s="30"/>
      <c r="Y4" s="30"/>
    </row>
    <row r="5" spans="1:25" ht="15" customHeight="1" x14ac:dyDescent="0.25">
      <c r="A5" s="8"/>
      <c r="B5" s="9"/>
      <c r="C5" s="9"/>
      <c r="D5" s="9"/>
      <c r="E5" s="9"/>
      <c r="F5" s="9"/>
      <c r="G5" s="9"/>
      <c r="H5" s="9"/>
      <c r="I5" s="10"/>
      <c r="J5" s="30"/>
      <c r="K5" s="30"/>
      <c r="L5" s="30"/>
      <c r="M5" s="30"/>
      <c r="N5" s="30"/>
      <c r="O5" s="30"/>
      <c r="P5" s="30"/>
      <c r="Q5" s="30"/>
      <c r="R5" s="30"/>
      <c r="S5" s="30"/>
      <c r="T5" s="30"/>
      <c r="U5" s="30"/>
      <c r="V5" s="30"/>
      <c r="W5" s="30"/>
      <c r="X5" s="30"/>
      <c r="Y5" s="30"/>
    </row>
    <row r="6" spans="1:25" ht="15" customHeight="1" x14ac:dyDescent="0.25">
      <c r="A6" s="8"/>
      <c r="B6" s="9"/>
      <c r="C6" s="9"/>
      <c r="D6" s="9"/>
      <c r="E6" s="9"/>
      <c r="F6" s="9"/>
      <c r="G6" s="9"/>
      <c r="H6" s="9"/>
      <c r="I6" s="10"/>
      <c r="J6" s="30"/>
      <c r="K6" s="30"/>
      <c r="L6" s="30"/>
      <c r="M6" s="30"/>
      <c r="N6" s="30"/>
      <c r="O6" s="30"/>
      <c r="P6" s="30"/>
      <c r="Q6" s="30"/>
      <c r="R6" s="30"/>
      <c r="S6" s="30"/>
      <c r="T6" s="30"/>
      <c r="U6" s="30"/>
      <c r="V6" s="30"/>
      <c r="W6" s="30"/>
      <c r="X6" s="30"/>
      <c r="Y6" s="30"/>
    </row>
    <row r="7" spans="1:25" ht="15" customHeight="1" x14ac:dyDescent="0.25">
      <c r="A7" s="8"/>
      <c r="B7" s="9"/>
      <c r="C7" s="9"/>
      <c r="D7" s="84"/>
      <c r="E7" s="85"/>
      <c r="F7" s="85"/>
      <c r="G7" s="9"/>
      <c r="H7" s="9"/>
      <c r="I7" s="10"/>
      <c r="J7" s="30"/>
      <c r="K7" s="30"/>
      <c r="L7" s="30"/>
      <c r="M7" s="30"/>
      <c r="N7" s="30"/>
      <c r="O7" s="30"/>
      <c r="P7" s="30"/>
      <c r="Q7" s="30"/>
      <c r="R7" s="30"/>
      <c r="S7" s="30"/>
      <c r="T7" s="30"/>
      <c r="U7" s="30"/>
      <c r="V7" s="30"/>
      <c r="W7" s="30"/>
      <c r="X7" s="30"/>
      <c r="Y7" s="30"/>
    </row>
    <row r="8" spans="1:25" ht="15" customHeight="1" x14ac:dyDescent="0.25">
      <c r="A8" s="8"/>
      <c r="B8" s="9"/>
      <c r="C8" s="9"/>
      <c r="D8" s="85"/>
      <c r="E8" s="85"/>
      <c r="F8" s="85"/>
      <c r="G8" s="9"/>
      <c r="H8" s="9"/>
      <c r="I8" s="10"/>
      <c r="J8" s="30"/>
      <c r="K8" s="30"/>
      <c r="L8" s="30"/>
      <c r="M8" s="30"/>
      <c r="N8" s="30"/>
      <c r="O8" s="30"/>
      <c r="P8" s="30"/>
      <c r="Q8" s="30"/>
      <c r="R8" s="30"/>
      <c r="S8" s="30"/>
      <c r="T8" s="30"/>
      <c r="U8" s="30"/>
      <c r="V8" s="30"/>
      <c r="W8" s="30"/>
      <c r="X8" s="30"/>
      <c r="Y8" s="30"/>
    </row>
    <row r="9" spans="1:25" ht="15" customHeight="1" x14ac:dyDescent="0.25">
      <c r="A9" s="8"/>
      <c r="B9" s="9"/>
      <c r="C9" s="9"/>
      <c r="D9" s="85"/>
      <c r="E9" s="85"/>
      <c r="F9" s="85"/>
      <c r="G9" s="9"/>
      <c r="H9" s="9"/>
      <c r="I9" s="10"/>
      <c r="J9" s="30"/>
      <c r="K9" s="30"/>
      <c r="L9" s="30"/>
      <c r="M9" s="30"/>
      <c r="N9" s="30"/>
      <c r="O9" s="30"/>
      <c r="P9" s="30"/>
      <c r="Q9" s="30"/>
      <c r="R9" s="30"/>
      <c r="S9" s="30"/>
      <c r="T9" s="30"/>
      <c r="U9" s="30"/>
      <c r="V9" s="30"/>
      <c r="W9" s="30"/>
      <c r="X9" s="30"/>
      <c r="Y9" s="30"/>
    </row>
    <row r="10" spans="1:25" ht="15" customHeight="1" x14ac:dyDescent="0.25">
      <c r="A10" s="8"/>
      <c r="B10" s="9"/>
      <c r="C10" s="9"/>
      <c r="D10" s="85"/>
      <c r="E10" s="85"/>
      <c r="F10" s="85"/>
      <c r="G10" s="9"/>
      <c r="H10" s="9"/>
      <c r="I10" s="10"/>
      <c r="J10" s="30"/>
      <c r="K10" s="30"/>
      <c r="L10" s="30"/>
      <c r="M10" s="30"/>
      <c r="N10" s="30"/>
      <c r="O10" s="30"/>
      <c r="P10" s="30"/>
      <c r="Q10" s="30"/>
      <c r="R10" s="30"/>
      <c r="S10" s="30"/>
      <c r="T10" s="30"/>
      <c r="U10" s="30"/>
      <c r="V10" s="30"/>
      <c r="W10" s="30"/>
      <c r="X10" s="30"/>
      <c r="Y10" s="30"/>
    </row>
    <row r="11" spans="1:25" ht="15" customHeight="1" x14ac:dyDescent="0.25">
      <c r="A11" s="8"/>
      <c r="B11" s="9"/>
      <c r="C11" s="9"/>
      <c r="D11" s="85"/>
      <c r="E11" s="85"/>
      <c r="F11" s="85"/>
      <c r="G11" s="9"/>
      <c r="H11" s="9"/>
      <c r="I11" s="10"/>
      <c r="J11" s="30"/>
      <c r="K11" s="30"/>
      <c r="L11" s="30"/>
      <c r="M11" s="30"/>
      <c r="N11" s="30"/>
      <c r="O11" s="30"/>
      <c r="P11" s="30"/>
      <c r="Q11" s="30"/>
      <c r="R11" s="30"/>
      <c r="S11" s="30"/>
      <c r="T11" s="30"/>
      <c r="U11" s="30"/>
      <c r="V11" s="30"/>
      <c r="W11" s="30"/>
      <c r="X11" s="30"/>
      <c r="Y11" s="30"/>
    </row>
    <row r="12" spans="1:25" ht="15" customHeight="1" x14ac:dyDescent="0.25">
      <c r="A12" s="8"/>
      <c r="B12" s="9"/>
      <c r="C12" s="9"/>
      <c r="D12" s="85"/>
      <c r="E12" s="85"/>
      <c r="F12" s="85"/>
      <c r="G12" s="9"/>
      <c r="H12" s="9"/>
      <c r="I12" s="10"/>
      <c r="J12" s="30"/>
      <c r="K12" s="30"/>
      <c r="L12" s="30"/>
      <c r="M12" s="30"/>
      <c r="N12" s="30"/>
      <c r="O12" s="30"/>
      <c r="P12" s="30"/>
      <c r="Q12" s="30"/>
      <c r="R12" s="30"/>
      <c r="S12" s="30"/>
      <c r="T12" s="30"/>
      <c r="U12" s="30"/>
      <c r="V12" s="30"/>
      <c r="W12" s="30"/>
      <c r="X12" s="30"/>
      <c r="Y12" s="30"/>
    </row>
    <row r="13" spans="1:25" ht="15" customHeight="1" x14ac:dyDescent="0.25">
      <c r="A13" s="8"/>
      <c r="B13" s="9"/>
      <c r="C13" s="9"/>
      <c r="D13" s="85"/>
      <c r="E13" s="85"/>
      <c r="F13" s="85"/>
      <c r="G13" s="9"/>
      <c r="H13" s="9"/>
      <c r="I13" s="10"/>
      <c r="J13" s="30"/>
      <c r="K13" s="30"/>
      <c r="L13" s="30"/>
      <c r="M13" s="30"/>
      <c r="N13" s="30"/>
      <c r="O13" s="30"/>
      <c r="P13" s="30"/>
      <c r="Q13" s="30"/>
      <c r="R13" s="30"/>
      <c r="S13" s="30"/>
      <c r="T13" s="30"/>
      <c r="U13" s="30"/>
      <c r="V13" s="30"/>
      <c r="W13" s="30"/>
      <c r="X13" s="30"/>
      <c r="Y13" s="30"/>
    </row>
    <row r="14" spans="1:25" ht="15" customHeight="1" x14ac:dyDescent="0.25">
      <c r="A14" s="8"/>
      <c r="B14" s="9"/>
      <c r="C14" s="9"/>
      <c r="D14" s="85"/>
      <c r="E14" s="85"/>
      <c r="F14" s="85"/>
      <c r="G14" s="9"/>
      <c r="H14" s="9"/>
      <c r="I14" s="10"/>
      <c r="J14" s="30"/>
      <c r="K14" s="30"/>
      <c r="L14" s="30"/>
      <c r="M14" s="30"/>
      <c r="N14" s="30"/>
      <c r="O14" s="30"/>
      <c r="P14" s="30"/>
      <c r="Q14" s="30"/>
      <c r="R14" s="30"/>
      <c r="S14" s="30"/>
      <c r="T14" s="30"/>
      <c r="U14" s="30"/>
      <c r="V14" s="30"/>
      <c r="W14" s="30"/>
      <c r="X14" s="30"/>
      <c r="Y14" s="30"/>
    </row>
    <row r="15" spans="1:25" ht="15" customHeight="1" x14ac:dyDescent="0.25">
      <c r="A15" s="8"/>
      <c r="B15" s="9"/>
      <c r="C15" s="9"/>
      <c r="D15" s="9"/>
      <c r="E15" s="9"/>
      <c r="F15" s="9"/>
      <c r="G15" s="9"/>
      <c r="H15" s="9"/>
      <c r="I15" s="10"/>
      <c r="J15" s="30"/>
      <c r="K15" s="30"/>
      <c r="L15" s="30"/>
      <c r="M15" s="30"/>
      <c r="N15" s="30"/>
      <c r="O15" s="30"/>
      <c r="P15" s="30"/>
      <c r="Q15" s="30"/>
      <c r="R15" s="30"/>
      <c r="S15" s="30"/>
      <c r="T15" s="30"/>
      <c r="U15" s="30"/>
      <c r="V15" s="30"/>
      <c r="W15" s="30"/>
      <c r="X15" s="30"/>
      <c r="Y15" s="30"/>
    </row>
    <row r="16" spans="1:25" ht="15" customHeight="1" x14ac:dyDescent="0.25">
      <c r="A16" s="8"/>
      <c r="B16" s="9"/>
      <c r="C16" s="9"/>
      <c r="D16" s="9"/>
      <c r="E16" s="9"/>
      <c r="F16" s="9"/>
      <c r="G16" s="9"/>
      <c r="H16" s="9"/>
      <c r="I16" s="10"/>
      <c r="J16" s="30"/>
      <c r="K16" s="30"/>
      <c r="L16" s="30"/>
      <c r="M16" s="30"/>
      <c r="N16" s="30"/>
      <c r="O16" s="30"/>
      <c r="P16" s="30"/>
      <c r="Q16" s="30"/>
      <c r="R16" s="30"/>
      <c r="S16" s="30"/>
      <c r="T16" s="30"/>
      <c r="U16" s="30"/>
      <c r="V16" s="30"/>
      <c r="W16" s="30"/>
      <c r="X16" s="30"/>
      <c r="Y16" s="30"/>
    </row>
    <row r="17" spans="1:25" ht="15" customHeight="1" x14ac:dyDescent="0.25">
      <c r="A17" s="8"/>
      <c r="B17" s="9"/>
      <c r="C17" s="9"/>
      <c r="D17" s="9"/>
      <c r="E17" s="9"/>
      <c r="F17" s="9"/>
      <c r="G17" s="9"/>
      <c r="H17" s="9"/>
      <c r="I17" s="10"/>
      <c r="J17" s="30"/>
      <c r="K17" s="30"/>
      <c r="L17" s="30"/>
      <c r="M17" s="30"/>
      <c r="N17" s="30"/>
      <c r="O17" s="30"/>
      <c r="P17" s="30"/>
      <c r="Q17" s="30"/>
      <c r="R17" s="30"/>
      <c r="S17" s="30"/>
      <c r="T17" s="30"/>
      <c r="U17" s="30"/>
      <c r="V17" s="30"/>
      <c r="W17" s="30"/>
      <c r="X17" s="30"/>
      <c r="Y17" s="30"/>
    </row>
    <row r="18" spans="1:25" ht="15" customHeight="1" x14ac:dyDescent="0.25">
      <c r="A18" s="8"/>
      <c r="B18" s="9"/>
      <c r="C18" s="9"/>
      <c r="D18" s="9"/>
      <c r="E18" s="9"/>
      <c r="F18" s="9"/>
      <c r="G18" s="9"/>
      <c r="H18" s="9"/>
      <c r="I18" s="10"/>
      <c r="J18" s="30"/>
      <c r="K18" s="30"/>
      <c r="L18" s="30"/>
      <c r="M18" s="30"/>
      <c r="N18" s="30"/>
      <c r="O18" s="30"/>
      <c r="P18" s="30"/>
      <c r="Q18" s="30"/>
      <c r="R18" s="30"/>
      <c r="S18" s="30"/>
      <c r="T18" s="30"/>
      <c r="U18" s="30"/>
      <c r="V18" s="30"/>
      <c r="W18" s="30"/>
      <c r="X18" s="30"/>
      <c r="Y18" s="30"/>
    </row>
    <row r="19" spans="1:25" ht="15" customHeight="1" x14ac:dyDescent="0.25">
      <c r="A19" s="8"/>
      <c r="B19" s="9"/>
      <c r="C19" s="9"/>
      <c r="D19" s="9"/>
      <c r="E19" s="9"/>
      <c r="F19" s="9"/>
      <c r="G19" s="9"/>
      <c r="H19" s="9"/>
      <c r="I19" s="10"/>
      <c r="J19" s="30"/>
      <c r="K19" s="30"/>
      <c r="L19" s="30"/>
      <c r="M19" s="30"/>
      <c r="N19" s="30"/>
      <c r="O19" s="30"/>
      <c r="P19" s="30"/>
      <c r="Q19" s="30"/>
      <c r="R19" s="30"/>
      <c r="S19" s="30"/>
      <c r="T19" s="30"/>
      <c r="U19" s="30"/>
      <c r="V19" s="30"/>
      <c r="W19" s="30"/>
      <c r="X19" s="30"/>
      <c r="Y19" s="30"/>
    </row>
    <row r="20" spans="1:25" ht="15" customHeight="1" x14ac:dyDescent="0.25">
      <c r="A20" s="8"/>
      <c r="B20" s="9"/>
      <c r="C20" s="9"/>
      <c r="D20" s="9"/>
      <c r="E20" s="9"/>
      <c r="F20" s="9"/>
      <c r="G20" s="9"/>
      <c r="H20" s="9"/>
      <c r="I20" s="10"/>
      <c r="J20" s="30"/>
      <c r="K20" s="30"/>
      <c r="L20" s="30"/>
      <c r="M20" s="30"/>
      <c r="N20" s="30"/>
      <c r="O20" s="30"/>
      <c r="P20" s="30"/>
      <c r="Q20" s="30"/>
      <c r="R20" s="30"/>
      <c r="S20" s="30"/>
      <c r="T20" s="30"/>
      <c r="U20" s="30"/>
      <c r="V20" s="30"/>
      <c r="W20" s="30"/>
      <c r="X20" s="30"/>
      <c r="Y20" s="30"/>
    </row>
    <row r="21" spans="1:25" ht="39" customHeight="1" x14ac:dyDescent="0.3">
      <c r="A21" s="86" t="s">
        <v>45</v>
      </c>
      <c r="B21" s="85"/>
      <c r="C21" s="85"/>
      <c r="D21" s="85"/>
      <c r="E21" s="85"/>
      <c r="F21" s="85"/>
      <c r="G21" s="85"/>
      <c r="H21" s="85"/>
      <c r="I21" s="87"/>
      <c r="J21" s="30"/>
      <c r="K21" s="30"/>
      <c r="L21" s="30"/>
      <c r="M21" s="30"/>
      <c r="N21" s="30"/>
      <c r="O21" s="30"/>
      <c r="P21" s="30"/>
      <c r="Q21" s="30"/>
      <c r="R21" s="30"/>
      <c r="S21" s="30"/>
      <c r="T21" s="30"/>
      <c r="U21" s="30"/>
      <c r="V21" s="30"/>
      <c r="W21" s="30"/>
      <c r="X21" s="30"/>
      <c r="Y21" s="30"/>
    </row>
    <row r="22" spans="1:25" ht="20.399999999999999" customHeight="1" x14ac:dyDescent="0.3">
      <c r="A22" s="90" t="s">
        <v>46</v>
      </c>
      <c r="B22" s="85"/>
      <c r="C22" s="85"/>
      <c r="D22" s="85"/>
      <c r="E22" s="85"/>
      <c r="F22" s="85"/>
      <c r="G22" s="85"/>
      <c r="H22" s="85"/>
      <c r="I22" s="87"/>
      <c r="J22" s="30"/>
      <c r="K22" s="30"/>
      <c r="L22" s="30"/>
      <c r="M22" s="30"/>
      <c r="N22" s="30"/>
      <c r="O22" s="30"/>
      <c r="P22" s="30"/>
      <c r="Q22" s="30"/>
      <c r="R22" s="30"/>
      <c r="S22" s="30"/>
      <c r="T22" s="30"/>
      <c r="U22" s="30"/>
      <c r="V22" s="30"/>
      <c r="W22" s="30"/>
      <c r="X22" s="30"/>
      <c r="Y22" s="30"/>
    </row>
    <row r="23" spans="1:25" ht="15" customHeight="1" x14ac:dyDescent="0.25">
      <c r="A23" s="8"/>
      <c r="B23" s="9"/>
      <c r="C23" s="9"/>
      <c r="D23" s="89"/>
      <c r="E23" s="85"/>
      <c r="F23" s="11"/>
      <c r="G23" s="9"/>
      <c r="H23" s="9"/>
      <c r="I23" s="10"/>
      <c r="J23" s="30"/>
      <c r="K23" s="30"/>
      <c r="L23" s="30"/>
      <c r="M23" s="30"/>
      <c r="N23" s="30"/>
      <c r="O23" s="30"/>
      <c r="P23" s="30"/>
      <c r="Q23" s="30"/>
      <c r="R23" s="30"/>
      <c r="S23" s="30"/>
      <c r="T23" s="30"/>
      <c r="U23" s="30"/>
      <c r="V23" s="30"/>
      <c r="W23" s="30"/>
      <c r="X23" s="30"/>
      <c r="Y23" s="30"/>
    </row>
    <row r="24" spans="1:25" ht="15" customHeight="1" x14ac:dyDescent="0.25">
      <c r="A24" s="8"/>
      <c r="B24" s="9"/>
      <c r="C24" s="9"/>
      <c r="D24" s="88" t="s">
        <v>47</v>
      </c>
      <c r="E24" s="85"/>
      <c r="F24" s="66" t="s">
        <v>48</v>
      </c>
      <c r="G24" s="12"/>
      <c r="H24" s="9"/>
      <c r="I24" s="10"/>
      <c r="J24" s="30"/>
      <c r="K24" s="30"/>
      <c r="L24" s="30"/>
      <c r="M24" s="30"/>
      <c r="N24" s="30"/>
      <c r="O24" s="30"/>
      <c r="P24" s="30"/>
      <c r="Q24" s="30"/>
      <c r="R24" s="30"/>
      <c r="S24" s="30"/>
      <c r="T24" s="30"/>
      <c r="U24" s="30"/>
      <c r="V24" s="30"/>
      <c r="W24" s="30"/>
      <c r="X24" s="30"/>
      <c r="Y24" s="30"/>
    </row>
    <row r="25" spans="1:25" ht="15" customHeight="1" x14ac:dyDescent="0.25">
      <c r="A25" s="8"/>
      <c r="B25" s="9"/>
      <c r="C25" s="9"/>
      <c r="D25" s="88" t="s">
        <v>49</v>
      </c>
      <c r="E25" s="85"/>
      <c r="F25" s="67" t="s">
        <v>50</v>
      </c>
      <c r="G25" s="12"/>
      <c r="H25" s="9"/>
      <c r="I25" s="10"/>
      <c r="J25" s="30"/>
      <c r="K25" s="30"/>
      <c r="L25" s="30"/>
      <c r="M25" s="30"/>
      <c r="N25" s="30"/>
      <c r="O25" s="30"/>
      <c r="P25" s="30"/>
      <c r="Q25" s="30"/>
      <c r="R25" s="30"/>
      <c r="S25" s="30"/>
      <c r="T25" s="30"/>
      <c r="U25" s="30"/>
      <c r="V25" s="30"/>
      <c r="W25" s="30"/>
      <c r="X25" s="30"/>
      <c r="Y25" s="30"/>
    </row>
    <row r="26" spans="1:25" ht="15" customHeight="1" x14ac:dyDescent="0.25">
      <c r="A26" s="8"/>
      <c r="B26" s="9"/>
      <c r="C26" s="58"/>
      <c r="D26" s="91" t="s">
        <v>51</v>
      </c>
      <c r="E26" s="85"/>
      <c r="F26" s="68">
        <v>46119</v>
      </c>
      <c r="G26" s="14"/>
      <c r="H26" s="9"/>
      <c r="I26" s="10"/>
      <c r="J26" s="30"/>
      <c r="K26" s="30"/>
      <c r="L26" s="30"/>
      <c r="M26" s="30"/>
      <c r="N26" s="30"/>
      <c r="O26" s="30"/>
      <c r="P26" s="30"/>
      <c r="Q26" s="30"/>
      <c r="R26" s="30"/>
      <c r="S26" s="30"/>
      <c r="T26" s="30"/>
      <c r="U26" s="30"/>
      <c r="V26" s="30"/>
      <c r="W26" s="30"/>
      <c r="X26" s="30"/>
      <c r="Y26" s="30"/>
    </row>
    <row r="27" spans="1:25" ht="15" customHeight="1" x14ac:dyDescent="0.25">
      <c r="A27" s="8"/>
      <c r="B27" s="9"/>
      <c r="C27" s="9"/>
      <c r="D27" s="13"/>
      <c r="E27" s="13"/>
      <c r="F27" s="9"/>
      <c r="G27" s="11"/>
      <c r="H27" s="9"/>
      <c r="I27" s="10"/>
      <c r="J27" s="30"/>
      <c r="K27" s="30"/>
      <c r="L27" s="30"/>
      <c r="M27" s="30"/>
      <c r="N27" s="30"/>
      <c r="O27" s="30"/>
      <c r="P27" s="30"/>
      <c r="Q27" s="30"/>
      <c r="R27" s="30"/>
      <c r="S27" s="30"/>
      <c r="T27" s="30"/>
      <c r="U27" s="30"/>
      <c r="V27" s="30"/>
      <c r="W27" s="30"/>
      <c r="X27" s="30"/>
      <c r="Y27" s="30"/>
    </row>
    <row r="28" spans="1:25" ht="15" customHeight="1" x14ac:dyDescent="0.25">
      <c r="A28" s="8"/>
      <c r="B28" s="9"/>
      <c r="C28" s="9"/>
      <c r="D28" s="13"/>
      <c r="E28" s="13"/>
      <c r="F28" s="9"/>
      <c r="G28" s="9"/>
      <c r="H28" s="9"/>
      <c r="I28" s="10"/>
      <c r="J28" s="30"/>
      <c r="K28" s="30"/>
      <c r="L28" s="30"/>
      <c r="M28" s="30"/>
      <c r="N28" s="30"/>
      <c r="O28" s="30"/>
      <c r="P28" s="30"/>
      <c r="Q28" s="30"/>
      <c r="R28" s="30"/>
      <c r="S28" s="30"/>
      <c r="T28" s="30"/>
      <c r="U28" s="30"/>
      <c r="V28" s="30"/>
      <c r="W28" s="30"/>
      <c r="X28" s="30"/>
      <c r="Y28" s="30"/>
    </row>
    <row r="29" spans="1:25" ht="15" customHeight="1" x14ac:dyDescent="0.25">
      <c r="A29" s="8"/>
      <c r="B29" s="9"/>
      <c r="C29" s="9"/>
      <c r="D29" s="9"/>
      <c r="E29" s="9"/>
      <c r="F29" s="9"/>
      <c r="G29" s="9"/>
      <c r="H29" s="9"/>
      <c r="I29" s="10"/>
      <c r="J29" s="30"/>
      <c r="K29" s="30"/>
      <c r="L29" s="30"/>
      <c r="M29" s="30"/>
      <c r="N29" s="30"/>
      <c r="O29" s="30"/>
      <c r="P29" s="30"/>
      <c r="Q29" s="30"/>
      <c r="R29" s="30"/>
      <c r="S29" s="30"/>
      <c r="T29" s="30"/>
      <c r="U29" s="30"/>
      <c r="V29" s="30"/>
      <c r="W29" s="30"/>
      <c r="X29" s="30"/>
      <c r="Y29" s="30"/>
    </row>
    <row r="30" spans="1:25" ht="15" customHeight="1" x14ac:dyDescent="0.25">
      <c r="A30" s="8"/>
      <c r="B30" s="9"/>
      <c r="C30" s="9"/>
      <c r="D30" s="9"/>
      <c r="E30" s="9"/>
      <c r="F30" s="9"/>
      <c r="G30" s="9"/>
      <c r="H30" s="9"/>
      <c r="I30" s="10"/>
      <c r="J30" s="30"/>
      <c r="K30" s="30"/>
      <c r="L30" s="30"/>
      <c r="M30" s="30"/>
      <c r="N30" s="30"/>
      <c r="O30" s="30"/>
      <c r="P30" s="30"/>
      <c r="Q30" s="30"/>
      <c r="R30" s="30"/>
      <c r="S30" s="30"/>
      <c r="T30" s="30"/>
      <c r="U30" s="30"/>
      <c r="V30" s="30"/>
      <c r="W30" s="30"/>
      <c r="X30" s="30"/>
      <c r="Y30" s="30"/>
    </row>
    <row r="31" spans="1:25" ht="15" customHeight="1" x14ac:dyDescent="0.25">
      <c r="A31" s="8"/>
      <c r="B31" s="9"/>
      <c r="C31" s="9"/>
      <c r="D31" s="9"/>
      <c r="E31" s="9"/>
      <c r="F31" s="9"/>
      <c r="G31" s="9"/>
      <c r="H31" s="9"/>
      <c r="I31" s="10"/>
      <c r="J31" s="30"/>
      <c r="K31" s="30"/>
      <c r="L31" s="30"/>
      <c r="M31" s="30"/>
      <c r="N31" s="30"/>
      <c r="O31" s="30"/>
      <c r="P31" s="30"/>
      <c r="Q31" s="30"/>
      <c r="R31" s="30"/>
      <c r="S31" s="30"/>
      <c r="T31" s="30"/>
      <c r="U31" s="30"/>
      <c r="V31" s="30"/>
      <c r="W31" s="30"/>
      <c r="X31" s="30"/>
      <c r="Y31" s="30"/>
    </row>
    <row r="32" spans="1:25" ht="15" customHeight="1" x14ac:dyDescent="0.25">
      <c r="A32" s="8"/>
      <c r="B32" s="9"/>
      <c r="C32" s="9"/>
      <c r="D32" s="9"/>
      <c r="E32" s="9"/>
      <c r="F32" s="9"/>
      <c r="G32" s="9"/>
      <c r="H32" s="9"/>
      <c r="I32" s="10"/>
      <c r="J32" s="30"/>
      <c r="K32" s="30"/>
      <c r="L32" s="30"/>
      <c r="M32" s="30"/>
      <c r="N32" s="30"/>
      <c r="O32" s="30"/>
      <c r="P32" s="30"/>
      <c r="Q32" s="30"/>
      <c r="R32" s="30"/>
      <c r="S32" s="30"/>
      <c r="T32" s="30"/>
      <c r="U32" s="30"/>
      <c r="V32" s="30"/>
      <c r="W32" s="30"/>
      <c r="X32" s="30"/>
      <c r="Y32" s="30"/>
    </row>
    <row r="33" spans="1:25" ht="15" customHeight="1" x14ac:dyDescent="0.25">
      <c r="A33" s="8"/>
      <c r="B33" s="9"/>
      <c r="C33" s="9"/>
      <c r="D33" s="9"/>
      <c r="E33" s="9"/>
      <c r="F33" s="9"/>
      <c r="G33" s="9"/>
      <c r="H33" s="9"/>
      <c r="I33" s="10"/>
      <c r="J33" s="30"/>
      <c r="K33" s="30"/>
      <c r="L33" s="30"/>
      <c r="M33" s="30"/>
      <c r="N33" s="30"/>
      <c r="O33" s="30"/>
      <c r="P33" s="30"/>
      <c r="Q33" s="30"/>
      <c r="R33" s="30"/>
      <c r="S33" s="30"/>
      <c r="T33" s="30"/>
      <c r="U33" s="30"/>
      <c r="V33" s="30"/>
      <c r="W33" s="30"/>
      <c r="X33" s="30"/>
      <c r="Y33" s="30"/>
    </row>
    <row r="34" spans="1:25" ht="15" customHeight="1" x14ac:dyDescent="0.25">
      <c r="A34" s="8"/>
      <c r="B34" s="9"/>
      <c r="C34" s="9"/>
      <c r="D34" s="9"/>
      <c r="E34" s="9"/>
      <c r="F34" s="9"/>
      <c r="G34" s="9"/>
      <c r="H34" s="9"/>
      <c r="I34" s="10"/>
      <c r="J34" s="30"/>
      <c r="K34" s="30"/>
      <c r="L34" s="30"/>
      <c r="M34" s="30"/>
      <c r="N34" s="30"/>
      <c r="O34" s="30"/>
      <c r="P34" s="30"/>
      <c r="Q34" s="30"/>
      <c r="R34" s="30"/>
      <c r="S34" s="30"/>
      <c r="T34" s="30"/>
      <c r="U34" s="30"/>
      <c r="V34" s="30"/>
      <c r="W34" s="30"/>
      <c r="X34" s="30"/>
      <c r="Y34" s="30"/>
    </row>
    <row r="35" spans="1:25" ht="15" customHeight="1" x14ac:dyDescent="0.25">
      <c r="A35" s="8"/>
      <c r="B35" s="9"/>
      <c r="C35" s="9"/>
      <c r="D35" s="9"/>
      <c r="E35" s="9"/>
      <c r="F35" s="9"/>
      <c r="G35" s="9"/>
      <c r="H35" s="9"/>
      <c r="I35" s="10"/>
      <c r="J35" s="30"/>
      <c r="K35" s="30"/>
      <c r="L35" s="30"/>
      <c r="M35" s="30"/>
      <c r="N35" s="30"/>
      <c r="O35" s="30"/>
      <c r="P35" s="30"/>
      <c r="Q35" s="30"/>
      <c r="R35" s="30"/>
      <c r="S35" s="30"/>
      <c r="T35" s="30"/>
      <c r="U35" s="30"/>
      <c r="V35" s="30"/>
      <c r="W35" s="30"/>
      <c r="X35" s="30"/>
      <c r="Y35" s="30"/>
    </row>
    <row r="36" spans="1:25" ht="15" customHeight="1" x14ac:dyDescent="0.25">
      <c r="A36" s="8"/>
      <c r="B36" s="9"/>
      <c r="C36" s="9"/>
      <c r="D36" s="9"/>
      <c r="E36" s="9"/>
      <c r="F36" s="9"/>
      <c r="G36" s="9"/>
      <c r="H36" s="9"/>
      <c r="I36" s="10"/>
      <c r="J36" s="30"/>
      <c r="K36" s="30"/>
      <c r="L36" s="30"/>
      <c r="M36" s="30"/>
      <c r="N36" s="30"/>
      <c r="O36" s="30"/>
      <c r="P36" s="30"/>
      <c r="Q36" s="30"/>
      <c r="R36" s="30"/>
      <c r="S36" s="30"/>
      <c r="T36" s="30"/>
      <c r="U36" s="30"/>
      <c r="V36" s="30"/>
      <c r="W36" s="30"/>
      <c r="X36" s="30"/>
      <c r="Y36" s="30"/>
    </row>
    <row r="37" spans="1:25" ht="15" customHeight="1" x14ac:dyDescent="0.25">
      <c r="A37" s="8"/>
      <c r="B37" s="9"/>
      <c r="C37" s="9"/>
      <c r="D37" s="9"/>
      <c r="E37" s="9"/>
      <c r="F37" s="9"/>
      <c r="G37" s="9"/>
      <c r="H37" s="9"/>
      <c r="I37" s="10"/>
      <c r="J37" s="30"/>
      <c r="K37" s="30"/>
      <c r="L37" s="30"/>
      <c r="M37" s="30"/>
      <c r="N37" s="30"/>
      <c r="O37" s="30"/>
      <c r="P37" s="30"/>
      <c r="Q37" s="30"/>
      <c r="R37" s="30"/>
      <c r="S37" s="30"/>
      <c r="T37" s="30"/>
      <c r="U37" s="30"/>
      <c r="V37" s="30"/>
      <c r="W37" s="30"/>
      <c r="X37" s="30"/>
      <c r="Y37" s="30"/>
    </row>
    <row r="38" spans="1:25" ht="15" customHeight="1" x14ac:dyDescent="0.25">
      <c r="A38" s="8"/>
      <c r="B38" s="9"/>
      <c r="C38" s="9"/>
      <c r="D38" s="9"/>
      <c r="E38" s="9"/>
      <c r="F38" s="9"/>
      <c r="G38" s="9"/>
      <c r="H38" s="9"/>
      <c r="I38" s="10"/>
      <c r="J38" s="30"/>
      <c r="K38" s="30"/>
      <c r="L38" s="30"/>
      <c r="M38" s="30"/>
      <c r="N38" s="30"/>
      <c r="O38" s="30"/>
      <c r="P38" s="30"/>
      <c r="Q38" s="30"/>
      <c r="R38" s="30"/>
      <c r="S38" s="30"/>
      <c r="T38" s="30"/>
      <c r="U38" s="30"/>
      <c r="V38" s="30"/>
      <c r="W38" s="30"/>
      <c r="X38" s="30"/>
      <c r="Y38" s="30"/>
    </row>
    <row r="39" spans="1:25" ht="15" customHeight="1" x14ac:dyDescent="0.25">
      <c r="A39" s="8"/>
      <c r="B39" s="9"/>
      <c r="C39" s="9"/>
      <c r="D39" s="9"/>
      <c r="E39" s="9"/>
      <c r="F39" s="9"/>
      <c r="G39" s="9"/>
      <c r="H39" s="9"/>
      <c r="I39" s="10"/>
      <c r="J39" s="30"/>
      <c r="K39" s="30"/>
      <c r="L39" s="30"/>
      <c r="M39" s="30"/>
      <c r="N39" s="30"/>
      <c r="O39" s="30"/>
      <c r="P39" s="30"/>
      <c r="Q39" s="30"/>
      <c r="R39" s="30"/>
      <c r="S39" s="30"/>
      <c r="T39" s="30"/>
      <c r="U39" s="30"/>
      <c r="V39" s="30"/>
      <c r="W39" s="30"/>
      <c r="X39" s="30"/>
      <c r="Y39" s="30"/>
    </row>
    <row r="40" spans="1:25" ht="15" customHeight="1" x14ac:dyDescent="0.25">
      <c r="A40" s="8"/>
      <c r="B40" s="9"/>
      <c r="C40" s="9"/>
      <c r="D40" s="9"/>
      <c r="E40" s="9"/>
      <c r="F40" s="9"/>
      <c r="G40" s="9"/>
      <c r="H40" s="9"/>
      <c r="I40" s="10"/>
      <c r="J40" s="30"/>
      <c r="K40" s="30"/>
      <c r="L40" s="30"/>
      <c r="M40" s="30"/>
      <c r="N40" s="30"/>
      <c r="O40" s="30"/>
      <c r="P40" s="30"/>
      <c r="Q40" s="30"/>
      <c r="R40" s="30"/>
      <c r="S40" s="30"/>
      <c r="T40" s="30"/>
      <c r="U40" s="30"/>
      <c r="V40" s="30"/>
      <c r="W40" s="30"/>
      <c r="X40" s="30"/>
      <c r="Y40" s="30"/>
    </row>
    <row r="41" spans="1:25" ht="15" customHeight="1" x14ac:dyDescent="0.25">
      <c r="A41" s="8"/>
      <c r="B41" s="9"/>
      <c r="C41" s="9"/>
      <c r="D41" s="9"/>
      <c r="E41" s="9"/>
      <c r="F41" s="9"/>
      <c r="G41" s="9"/>
      <c r="H41" s="9"/>
      <c r="I41" s="10"/>
      <c r="J41" s="30"/>
      <c r="K41" s="30"/>
      <c r="L41" s="30"/>
      <c r="M41" s="30"/>
      <c r="N41" s="30"/>
      <c r="O41" s="30"/>
      <c r="P41" s="30"/>
      <c r="Q41" s="30"/>
      <c r="R41" s="30"/>
      <c r="S41" s="30"/>
      <c r="T41" s="30"/>
      <c r="U41" s="30"/>
      <c r="V41" s="30"/>
      <c r="W41" s="30"/>
      <c r="X41" s="30"/>
      <c r="Y41" s="30"/>
    </row>
    <row r="42" spans="1:25" ht="15" customHeight="1" x14ac:dyDescent="0.25">
      <c r="A42" s="15"/>
      <c r="B42" s="16"/>
      <c r="C42" s="17"/>
      <c r="D42" s="17"/>
      <c r="E42" s="17"/>
      <c r="F42" s="17"/>
      <c r="G42" s="17"/>
      <c r="H42" s="17"/>
      <c r="I42" s="18"/>
      <c r="J42" s="30"/>
      <c r="K42" s="30"/>
      <c r="L42" s="30"/>
      <c r="M42" s="30"/>
      <c r="N42" s="30"/>
      <c r="O42" s="30"/>
      <c r="P42" s="30"/>
      <c r="Q42" s="30"/>
      <c r="R42" s="30"/>
      <c r="S42" s="30"/>
      <c r="T42" s="30"/>
      <c r="U42" s="30"/>
      <c r="V42" s="30"/>
      <c r="W42" s="30"/>
      <c r="X42" s="30"/>
      <c r="Y42" s="30"/>
    </row>
    <row r="43" spans="1:25" ht="14.25" customHeight="1" x14ac:dyDescent="0.25">
      <c r="A43" s="30"/>
      <c r="B43" s="30"/>
      <c r="C43" s="30"/>
      <c r="D43" s="30"/>
      <c r="E43" s="30"/>
      <c r="F43" s="30"/>
      <c r="G43" s="30"/>
      <c r="H43" s="30"/>
      <c r="I43" s="30"/>
      <c r="J43" s="30"/>
      <c r="K43" s="30"/>
      <c r="L43" s="30"/>
      <c r="M43" s="30"/>
      <c r="N43" s="30"/>
      <c r="O43" s="30"/>
      <c r="P43" s="30"/>
      <c r="Q43" s="30"/>
      <c r="R43" s="30"/>
      <c r="S43" s="30"/>
      <c r="T43" s="30"/>
      <c r="U43" s="30"/>
      <c r="V43" s="30"/>
      <c r="W43" s="30"/>
      <c r="X43" s="30"/>
      <c r="Y43" s="30"/>
    </row>
    <row r="44" spans="1:25" ht="14.25" customHeight="1" x14ac:dyDescent="0.25">
      <c r="A44" s="30"/>
      <c r="B44" s="30"/>
      <c r="C44" s="30"/>
      <c r="D44" s="30"/>
      <c r="E44" s="30"/>
      <c r="F44" s="30"/>
      <c r="G44" s="30"/>
      <c r="H44" s="30"/>
      <c r="I44" s="30"/>
      <c r="J44" s="30"/>
      <c r="K44" s="30"/>
      <c r="L44" s="30"/>
      <c r="M44" s="30"/>
      <c r="N44" s="30"/>
      <c r="O44" s="30"/>
      <c r="P44" s="30"/>
      <c r="Q44" s="30"/>
      <c r="R44" s="30"/>
      <c r="S44" s="30"/>
      <c r="T44" s="30"/>
      <c r="U44" s="30"/>
      <c r="V44" s="30"/>
      <c r="W44" s="30"/>
      <c r="X44" s="30"/>
      <c r="Y44" s="30"/>
    </row>
    <row r="45" spans="1:25" ht="14.25" customHeight="1" x14ac:dyDescent="0.25">
      <c r="A45" s="30"/>
      <c r="B45" s="30"/>
      <c r="C45" s="30"/>
      <c r="D45" s="30"/>
      <c r="E45" s="30"/>
      <c r="F45" s="30"/>
      <c r="G45" s="30"/>
      <c r="H45" s="30"/>
      <c r="I45" s="30"/>
      <c r="J45" s="30"/>
      <c r="K45" s="30"/>
      <c r="L45" s="30"/>
      <c r="M45" s="30"/>
      <c r="N45" s="30"/>
      <c r="O45" s="30"/>
      <c r="P45" s="30"/>
      <c r="Q45" s="30"/>
      <c r="R45" s="30"/>
      <c r="S45" s="30"/>
      <c r="T45" s="30"/>
      <c r="U45" s="30"/>
      <c r="V45" s="30"/>
      <c r="W45" s="30"/>
      <c r="X45" s="30"/>
      <c r="Y45" s="30"/>
    </row>
    <row r="46" spans="1:25" ht="14.25" customHeight="1" x14ac:dyDescent="0.25">
      <c r="A46" s="30"/>
      <c r="B46" s="30"/>
      <c r="C46" s="30"/>
      <c r="D46" s="30"/>
      <c r="E46" s="30"/>
      <c r="F46" s="30"/>
      <c r="G46" s="30"/>
      <c r="H46" s="30"/>
      <c r="I46" s="30"/>
      <c r="J46" s="30"/>
      <c r="K46" s="30"/>
      <c r="L46" s="30"/>
      <c r="M46" s="30"/>
      <c r="N46" s="30"/>
      <c r="O46" s="30"/>
      <c r="P46" s="30"/>
      <c r="Q46" s="30"/>
      <c r="R46" s="30"/>
      <c r="S46" s="30"/>
      <c r="T46" s="30"/>
      <c r="U46" s="30"/>
      <c r="V46" s="30"/>
      <c r="W46" s="30"/>
      <c r="X46" s="30"/>
      <c r="Y46" s="30"/>
    </row>
    <row r="47" spans="1:25" ht="14.25" customHeight="1" x14ac:dyDescent="0.25">
      <c r="A47" s="30"/>
      <c r="B47" s="30"/>
      <c r="C47" s="30"/>
      <c r="D47" s="30"/>
      <c r="E47" s="30"/>
      <c r="F47" s="30"/>
      <c r="G47" s="30"/>
      <c r="H47" s="30"/>
      <c r="I47" s="30"/>
      <c r="J47" s="30"/>
      <c r="K47" s="30"/>
      <c r="L47" s="30"/>
      <c r="M47" s="30"/>
      <c r="N47" s="30"/>
      <c r="O47" s="30"/>
      <c r="P47" s="30"/>
      <c r="Q47" s="30"/>
      <c r="R47" s="30"/>
      <c r="S47" s="30"/>
      <c r="T47" s="30"/>
      <c r="U47" s="30"/>
      <c r="V47" s="30"/>
      <c r="W47" s="30"/>
      <c r="X47" s="30"/>
      <c r="Y47" s="30"/>
    </row>
    <row r="48" spans="1:25" ht="14.25" customHeight="1" x14ac:dyDescent="0.25">
      <c r="A48" s="30"/>
      <c r="B48" s="30"/>
      <c r="C48" s="30"/>
      <c r="D48" s="30"/>
      <c r="E48" s="30"/>
      <c r="F48" s="30"/>
      <c r="G48" s="30"/>
      <c r="H48" s="30"/>
      <c r="I48" s="30"/>
      <c r="J48" s="30"/>
      <c r="K48" s="30"/>
      <c r="L48" s="30"/>
      <c r="M48" s="30"/>
      <c r="N48" s="30"/>
      <c r="O48" s="30"/>
      <c r="P48" s="30"/>
      <c r="Q48" s="30"/>
      <c r="R48" s="30"/>
      <c r="S48" s="30"/>
      <c r="T48" s="30"/>
      <c r="U48" s="30"/>
      <c r="V48" s="30"/>
      <c r="W48" s="30"/>
      <c r="X48" s="30"/>
      <c r="Y48" s="30"/>
    </row>
    <row r="49" spans="1:25" ht="14.25" customHeight="1" x14ac:dyDescent="0.25">
      <c r="A49" s="30"/>
      <c r="B49" s="30"/>
      <c r="C49" s="30"/>
      <c r="D49" s="30"/>
      <c r="E49" s="30"/>
      <c r="F49" s="30"/>
      <c r="G49" s="30"/>
      <c r="H49" s="30"/>
      <c r="I49" s="30"/>
      <c r="J49" s="30"/>
      <c r="K49" s="30"/>
      <c r="L49" s="30"/>
      <c r="M49" s="30"/>
      <c r="N49" s="30"/>
      <c r="O49" s="30"/>
      <c r="P49" s="30"/>
      <c r="Q49" s="30"/>
      <c r="R49" s="30"/>
      <c r="S49" s="30"/>
      <c r="T49" s="30"/>
      <c r="U49" s="30"/>
      <c r="V49" s="30"/>
      <c r="W49" s="30"/>
      <c r="X49" s="30"/>
      <c r="Y49" s="30"/>
    </row>
    <row r="50" spans="1:25" ht="14.25" customHeight="1" x14ac:dyDescent="0.25">
      <c r="A50" s="30"/>
      <c r="B50" s="30"/>
      <c r="C50" s="30"/>
      <c r="D50" s="30"/>
      <c r="E50" s="30"/>
      <c r="F50" s="30"/>
      <c r="G50" s="30"/>
      <c r="H50" s="30"/>
      <c r="I50" s="30"/>
      <c r="J50" s="30"/>
      <c r="K50" s="30"/>
      <c r="L50" s="30"/>
      <c r="M50" s="30"/>
      <c r="N50" s="30"/>
      <c r="O50" s="30"/>
      <c r="P50" s="30"/>
      <c r="Q50" s="30"/>
      <c r="R50" s="30"/>
      <c r="S50" s="30"/>
      <c r="T50" s="30"/>
      <c r="U50" s="30"/>
      <c r="V50" s="30"/>
      <c r="W50" s="30"/>
      <c r="X50" s="30"/>
      <c r="Y50" s="30"/>
    </row>
    <row r="51" spans="1:25" ht="14.25" customHeight="1" x14ac:dyDescent="0.25">
      <c r="A51" s="30"/>
      <c r="B51" s="30"/>
      <c r="C51" s="30"/>
      <c r="D51" s="30"/>
      <c r="E51" s="30"/>
      <c r="F51" s="30"/>
      <c r="G51" s="30"/>
      <c r="H51" s="30"/>
      <c r="I51" s="30"/>
      <c r="J51" s="30"/>
      <c r="K51" s="30"/>
      <c r="L51" s="30"/>
      <c r="M51" s="30"/>
      <c r="N51" s="30"/>
      <c r="O51" s="30"/>
      <c r="P51" s="30"/>
      <c r="Q51" s="30"/>
      <c r="R51" s="30"/>
      <c r="S51" s="30"/>
      <c r="T51" s="30"/>
      <c r="U51" s="30"/>
      <c r="V51" s="30"/>
      <c r="W51" s="30"/>
      <c r="X51" s="30"/>
      <c r="Y51" s="30"/>
    </row>
    <row r="52" spans="1:25" ht="14.25" customHeight="1" x14ac:dyDescent="0.25">
      <c r="A52" s="30"/>
      <c r="B52" s="30"/>
      <c r="C52" s="30"/>
      <c r="D52" s="30"/>
      <c r="E52" s="30"/>
      <c r="F52" s="30"/>
      <c r="G52" s="30"/>
      <c r="H52" s="30"/>
      <c r="I52" s="30"/>
      <c r="J52" s="30"/>
      <c r="K52" s="30"/>
      <c r="L52" s="30"/>
      <c r="M52" s="30"/>
      <c r="N52" s="30"/>
      <c r="O52" s="30"/>
      <c r="P52" s="30"/>
      <c r="Q52" s="30"/>
      <c r="R52" s="30"/>
      <c r="S52" s="30"/>
      <c r="T52" s="30"/>
      <c r="U52" s="30"/>
      <c r="V52" s="30"/>
      <c r="W52" s="30"/>
      <c r="X52" s="30"/>
      <c r="Y52" s="30"/>
    </row>
    <row r="53" spans="1:25" ht="14.25" customHeight="1" x14ac:dyDescent="0.25">
      <c r="A53" s="30"/>
      <c r="B53" s="30"/>
      <c r="C53" s="30"/>
      <c r="D53" s="30"/>
      <c r="E53" s="30"/>
      <c r="F53" s="30"/>
      <c r="G53" s="30"/>
      <c r="H53" s="30"/>
      <c r="I53" s="30"/>
      <c r="J53" s="30"/>
      <c r="K53" s="30"/>
      <c r="L53" s="30"/>
      <c r="M53" s="30"/>
      <c r="N53" s="30"/>
      <c r="O53" s="30"/>
      <c r="P53" s="30"/>
      <c r="Q53" s="30"/>
      <c r="R53" s="30"/>
      <c r="S53" s="30"/>
      <c r="T53" s="30"/>
      <c r="U53" s="30"/>
      <c r="V53" s="30"/>
      <c r="W53" s="30"/>
      <c r="X53" s="30"/>
      <c r="Y53" s="30"/>
    </row>
    <row r="54" spans="1:25" ht="14.25" customHeight="1" x14ac:dyDescent="0.25">
      <c r="A54" s="30"/>
      <c r="B54" s="30"/>
      <c r="C54" s="30"/>
      <c r="D54" s="30"/>
      <c r="E54" s="30"/>
      <c r="F54" s="30"/>
      <c r="G54" s="30"/>
      <c r="H54" s="30"/>
      <c r="I54" s="30"/>
      <c r="J54" s="30"/>
      <c r="K54" s="30"/>
      <c r="L54" s="30"/>
      <c r="M54" s="30"/>
      <c r="N54" s="30"/>
      <c r="O54" s="30"/>
      <c r="P54" s="30"/>
      <c r="Q54" s="30"/>
      <c r="R54" s="30"/>
      <c r="S54" s="30"/>
      <c r="T54" s="30"/>
      <c r="U54" s="30"/>
      <c r="V54" s="30"/>
      <c r="W54" s="30"/>
      <c r="X54" s="30"/>
      <c r="Y54" s="30"/>
    </row>
    <row r="55" spans="1:25" ht="14.25" customHeight="1" x14ac:dyDescent="0.25">
      <c r="A55" s="30"/>
      <c r="B55" s="30"/>
      <c r="C55" s="30"/>
      <c r="D55" s="30"/>
      <c r="E55" s="30"/>
      <c r="F55" s="30"/>
      <c r="G55" s="30"/>
      <c r="H55" s="30"/>
      <c r="I55" s="30"/>
      <c r="J55" s="30"/>
      <c r="K55" s="30"/>
      <c r="L55" s="30"/>
      <c r="M55" s="30"/>
      <c r="N55" s="30"/>
      <c r="O55" s="30"/>
      <c r="P55" s="30"/>
      <c r="Q55" s="30"/>
      <c r="R55" s="30"/>
      <c r="S55" s="30"/>
      <c r="T55" s="30"/>
      <c r="U55" s="30"/>
      <c r="V55" s="30"/>
      <c r="W55" s="30"/>
      <c r="X55" s="30"/>
      <c r="Y55" s="30"/>
    </row>
    <row r="56" spans="1:25" ht="14.25" customHeight="1" x14ac:dyDescent="0.25">
      <c r="A56" s="30"/>
      <c r="B56" s="30"/>
      <c r="C56" s="30"/>
      <c r="D56" s="30"/>
      <c r="E56" s="30"/>
      <c r="F56" s="30"/>
      <c r="G56" s="30"/>
      <c r="H56" s="30"/>
      <c r="I56" s="30"/>
      <c r="J56" s="30"/>
      <c r="K56" s="30"/>
      <c r="L56" s="30"/>
      <c r="M56" s="30"/>
      <c r="N56" s="30"/>
      <c r="O56" s="30"/>
      <c r="P56" s="30"/>
      <c r="Q56" s="30"/>
      <c r="R56" s="30"/>
      <c r="S56" s="30"/>
      <c r="T56" s="30"/>
      <c r="U56" s="30"/>
      <c r="V56" s="30"/>
      <c r="W56" s="30"/>
      <c r="X56" s="30"/>
      <c r="Y56" s="30"/>
    </row>
    <row r="57" spans="1:25" ht="14.25" customHeight="1" x14ac:dyDescent="0.25">
      <c r="A57" s="30"/>
      <c r="B57" s="30"/>
      <c r="C57" s="30"/>
      <c r="D57" s="30"/>
      <c r="E57" s="30"/>
      <c r="F57" s="30"/>
      <c r="G57" s="30"/>
      <c r="H57" s="30"/>
      <c r="I57" s="30"/>
      <c r="J57" s="30"/>
      <c r="K57" s="30"/>
      <c r="L57" s="30"/>
      <c r="M57" s="30"/>
      <c r="N57" s="30"/>
      <c r="O57" s="30"/>
      <c r="P57" s="30"/>
      <c r="Q57" s="30"/>
      <c r="R57" s="30"/>
      <c r="S57" s="30"/>
      <c r="T57" s="30"/>
      <c r="U57" s="30"/>
      <c r="V57" s="30"/>
      <c r="W57" s="30"/>
      <c r="X57" s="30"/>
      <c r="Y57" s="30"/>
    </row>
    <row r="58" spans="1:25" ht="14.25" customHeight="1" x14ac:dyDescent="0.25">
      <c r="A58" s="30"/>
      <c r="B58" s="30"/>
      <c r="C58" s="30"/>
      <c r="D58" s="30"/>
      <c r="E58" s="30"/>
      <c r="F58" s="30"/>
      <c r="G58" s="30"/>
      <c r="H58" s="30"/>
      <c r="I58" s="30"/>
      <c r="J58" s="30"/>
      <c r="K58" s="30"/>
      <c r="L58" s="30"/>
      <c r="M58" s="30"/>
      <c r="N58" s="30"/>
      <c r="O58" s="30"/>
      <c r="P58" s="30"/>
      <c r="Q58" s="30"/>
      <c r="R58" s="30"/>
      <c r="S58" s="30"/>
      <c r="T58" s="30"/>
      <c r="U58" s="30"/>
      <c r="V58" s="30"/>
      <c r="W58" s="30"/>
      <c r="X58" s="30"/>
      <c r="Y58" s="30"/>
    </row>
    <row r="59" spans="1:25" ht="14.25" customHeight="1" x14ac:dyDescent="0.25">
      <c r="A59" s="30"/>
      <c r="B59" s="30"/>
      <c r="C59" s="30"/>
      <c r="D59" s="30"/>
      <c r="E59" s="30"/>
      <c r="F59" s="30"/>
      <c r="G59" s="30"/>
      <c r="H59" s="30"/>
      <c r="I59" s="30"/>
      <c r="J59" s="30"/>
      <c r="K59" s="30"/>
      <c r="L59" s="30"/>
      <c r="M59" s="30"/>
      <c r="N59" s="30"/>
      <c r="O59" s="30"/>
      <c r="P59" s="30"/>
      <c r="Q59" s="30"/>
      <c r="R59" s="30"/>
      <c r="S59" s="30"/>
      <c r="T59" s="30"/>
      <c r="U59" s="30"/>
      <c r="V59" s="30"/>
      <c r="W59" s="30"/>
      <c r="X59" s="30"/>
      <c r="Y59" s="30"/>
    </row>
    <row r="60" spans="1:25" ht="14.25" customHeight="1" x14ac:dyDescent="0.25">
      <c r="A60" s="30"/>
      <c r="B60" s="30"/>
      <c r="C60" s="30"/>
      <c r="D60" s="30"/>
      <c r="E60" s="30"/>
      <c r="F60" s="30"/>
      <c r="G60" s="30"/>
      <c r="H60" s="30"/>
      <c r="I60" s="30"/>
      <c r="J60" s="30"/>
      <c r="K60" s="30"/>
      <c r="L60" s="30"/>
      <c r="M60" s="30"/>
      <c r="N60" s="30"/>
      <c r="O60" s="30"/>
      <c r="P60" s="30"/>
      <c r="Q60" s="30"/>
      <c r="R60" s="30"/>
      <c r="S60" s="30"/>
      <c r="T60" s="30"/>
      <c r="U60" s="30"/>
      <c r="V60" s="30"/>
      <c r="W60" s="30"/>
      <c r="X60" s="30"/>
      <c r="Y60" s="30"/>
    </row>
    <row r="61" spans="1:25" ht="14.25" customHeight="1" x14ac:dyDescent="0.25">
      <c r="A61" s="30"/>
      <c r="B61" s="30"/>
      <c r="C61" s="30"/>
      <c r="D61" s="30"/>
      <c r="E61" s="30"/>
      <c r="F61" s="30"/>
      <c r="G61" s="30"/>
      <c r="H61" s="30"/>
      <c r="I61" s="30"/>
      <c r="J61" s="30"/>
      <c r="K61" s="30"/>
      <c r="L61" s="30"/>
      <c r="M61" s="30"/>
      <c r="N61" s="30"/>
      <c r="O61" s="30"/>
      <c r="P61" s="30"/>
      <c r="Q61" s="30"/>
      <c r="R61" s="30"/>
      <c r="S61" s="30"/>
      <c r="T61" s="30"/>
      <c r="U61" s="30"/>
      <c r="V61" s="30"/>
      <c r="W61" s="30"/>
      <c r="X61" s="30"/>
      <c r="Y61" s="30"/>
    </row>
    <row r="62" spans="1:25" ht="14.25" customHeight="1" x14ac:dyDescent="0.25">
      <c r="A62" s="30"/>
      <c r="B62" s="30"/>
      <c r="C62" s="30"/>
      <c r="D62" s="30"/>
      <c r="E62" s="30"/>
      <c r="F62" s="30"/>
      <c r="G62" s="30"/>
      <c r="H62" s="30"/>
      <c r="I62" s="30"/>
      <c r="J62" s="30"/>
      <c r="K62" s="30"/>
      <c r="L62" s="30"/>
      <c r="M62" s="30"/>
      <c r="N62" s="30"/>
      <c r="O62" s="30"/>
      <c r="P62" s="30"/>
      <c r="Q62" s="30"/>
      <c r="R62" s="30"/>
      <c r="S62" s="30"/>
      <c r="T62" s="30"/>
      <c r="U62" s="30"/>
      <c r="V62" s="30"/>
      <c r="W62" s="30"/>
      <c r="X62" s="30"/>
      <c r="Y62" s="30"/>
    </row>
    <row r="63" spans="1:25" ht="14.25" customHeight="1" x14ac:dyDescent="0.25">
      <c r="A63" s="30"/>
      <c r="B63" s="30"/>
      <c r="C63" s="30"/>
      <c r="D63" s="30"/>
      <c r="E63" s="30"/>
      <c r="F63" s="30"/>
      <c r="G63" s="30"/>
      <c r="H63" s="30"/>
      <c r="I63" s="30"/>
      <c r="J63" s="30"/>
      <c r="K63" s="30"/>
      <c r="L63" s="30"/>
      <c r="M63" s="30"/>
      <c r="N63" s="30"/>
      <c r="O63" s="30"/>
      <c r="P63" s="30"/>
      <c r="Q63" s="30"/>
      <c r="R63" s="30"/>
      <c r="S63" s="30"/>
      <c r="T63" s="30"/>
      <c r="U63" s="30"/>
      <c r="V63" s="30"/>
      <c r="W63" s="30"/>
      <c r="X63" s="30"/>
      <c r="Y63" s="30"/>
    </row>
    <row r="64" spans="1:25" ht="14.25" customHeight="1" x14ac:dyDescent="0.25">
      <c r="A64" s="30"/>
      <c r="B64" s="30"/>
      <c r="C64" s="30"/>
      <c r="D64" s="30"/>
      <c r="E64" s="30"/>
      <c r="F64" s="30"/>
      <c r="G64" s="30"/>
      <c r="H64" s="30"/>
      <c r="I64" s="30"/>
      <c r="J64" s="30"/>
      <c r="K64" s="30"/>
      <c r="L64" s="30"/>
      <c r="M64" s="30"/>
      <c r="N64" s="30"/>
      <c r="O64" s="30"/>
      <c r="P64" s="30"/>
      <c r="Q64" s="30"/>
      <c r="R64" s="30"/>
      <c r="S64" s="30"/>
      <c r="T64" s="30"/>
      <c r="U64" s="30"/>
      <c r="V64" s="30"/>
      <c r="W64" s="30"/>
      <c r="X64" s="30"/>
      <c r="Y64" s="30"/>
    </row>
    <row r="65" spans="1:25" ht="14.25" customHeight="1" x14ac:dyDescent="0.25">
      <c r="A65" s="30"/>
      <c r="B65" s="30"/>
      <c r="C65" s="30"/>
      <c r="D65" s="30"/>
      <c r="E65" s="30"/>
      <c r="F65" s="30"/>
      <c r="G65" s="30"/>
      <c r="H65" s="30"/>
      <c r="I65" s="30"/>
      <c r="J65" s="30"/>
      <c r="K65" s="30"/>
      <c r="L65" s="30"/>
      <c r="M65" s="30"/>
      <c r="N65" s="30"/>
      <c r="O65" s="30"/>
      <c r="P65" s="30"/>
      <c r="Q65" s="30"/>
      <c r="R65" s="30"/>
      <c r="S65" s="30"/>
      <c r="T65" s="30"/>
      <c r="U65" s="30"/>
      <c r="V65" s="30"/>
      <c r="W65" s="30"/>
      <c r="X65" s="30"/>
      <c r="Y65" s="30"/>
    </row>
    <row r="66" spans="1:25" ht="14.25" customHeight="1" x14ac:dyDescent="0.25">
      <c r="A66" s="30"/>
      <c r="B66" s="30"/>
      <c r="C66" s="30"/>
      <c r="D66" s="30"/>
      <c r="E66" s="30"/>
      <c r="F66" s="30"/>
      <c r="G66" s="30"/>
      <c r="H66" s="30"/>
      <c r="I66" s="30"/>
      <c r="J66" s="30"/>
      <c r="K66" s="30"/>
      <c r="L66" s="30"/>
      <c r="M66" s="30"/>
      <c r="N66" s="30"/>
      <c r="O66" s="30"/>
      <c r="P66" s="30"/>
      <c r="Q66" s="30"/>
      <c r="R66" s="30"/>
      <c r="S66" s="30"/>
      <c r="T66" s="30"/>
      <c r="U66" s="30"/>
      <c r="V66" s="30"/>
      <c r="W66" s="30"/>
      <c r="X66" s="30"/>
      <c r="Y66" s="30"/>
    </row>
    <row r="67" spans="1:25" ht="14.25" customHeight="1" x14ac:dyDescent="0.25">
      <c r="A67" s="30"/>
      <c r="B67" s="30"/>
      <c r="C67" s="30"/>
      <c r="D67" s="30"/>
      <c r="E67" s="30"/>
      <c r="F67" s="30"/>
      <c r="G67" s="30"/>
      <c r="H67" s="30"/>
      <c r="I67" s="30"/>
      <c r="J67" s="30"/>
      <c r="K67" s="30"/>
      <c r="L67" s="30"/>
      <c r="M67" s="30"/>
      <c r="N67" s="30"/>
      <c r="O67" s="30"/>
      <c r="P67" s="30"/>
      <c r="Q67" s="30"/>
      <c r="R67" s="30"/>
      <c r="S67" s="30"/>
      <c r="T67" s="30"/>
      <c r="U67" s="30"/>
      <c r="V67" s="30"/>
      <c r="W67" s="30"/>
      <c r="X67" s="30"/>
      <c r="Y67" s="30"/>
    </row>
    <row r="68" spans="1:25" ht="14.25" customHeight="1" x14ac:dyDescent="0.25">
      <c r="A68" s="30"/>
      <c r="B68" s="30"/>
      <c r="C68" s="30"/>
      <c r="D68" s="30"/>
      <c r="E68" s="30"/>
      <c r="F68" s="30"/>
      <c r="G68" s="30"/>
      <c r="H68" s="30"/>
      <c r="I68" s="30"/>
      <c r="J68" s="30"/>
      <c r="K68" s="30"/>
      <c r="L68" s="30"/>
      <c r="M68" s="30"/>
      <c r="N68" s="30"/>
      <c r="O68" s="30"/>
      <c r="P68" s="30"/>
      <c r="Q68" s="30"/>
      <c r="R68" s="30"/>
      <c r="S68" s="30"/>
      <c r="T68" s="30"/>
      <c r="U68" s="30"/>
      <c r="V68" s="30"/>
      <c r="W68" s="30"/>
      <c r="X68" s="30"/>
      <c r="Y68" s="30"/>
    </row>
    <row r="69" spans="1:25" ht="14.25" customHeight="1" x14ac:dyDescent="0.25">
      <c r="A69" s="30"/>
      <c r="B69" s="30"/>
      <c r="C69" s="30"/>
      <c r="D69" s="30"/>
      <c r="E69" s="30"/>
      <c r="F69" s="30"/>
      <c r="G69" s="30"/>
      <c r="H69" s="30"/>
      <c r="I69" s="30"/>
      <c r="J69" s="30"/>
      <c r="K69" s="30"/>
      <c r="L69" s="30"/>
      <c r="M69" s="30"/>
      <c r="N69" s="30"/>
      <c r="O69" s="30"/>
      <c r="P69" s="30"/>
      <c r="Q69" s="30"/>
      <c r="R69" s="30"/>
      <c r="S69" s="30"/>
      <c r="T69" s="30"/>
      <c r="U69" s="30"/>
      <c r="V69" s="30"/>
      <c r="W69" s="30"/>
      <c r="X69" s="30"/>
      <c r="Y69" s="30"/>
    </row>
    <row r="70" spans="1:25" ht="14.25" customHeight="1" x14ac:dyDescent="0.25">
      <c r="A70" s="30"/>
      <c r="B70" s="30"/>
      <c r="C70" s="30"/>
      <c r="D70" s="30"/>
      <c r="E70" s="30"/>
      <c r="F70" s="30"/>
      <c r="G70" s="30"/>
      <c r="H70" s="30"/>
      <c r="I70" s="30"/>
      <c r="J70" s="30"/>
      <c r="K70" s="30"/>
      <c r="L70" s="30"/>
      <c r="M70" s="30"/>
      <c r="N70" s="30"/>
      <c r="O70" s="30"/>
      <c r="P70" s="30"/>
      <c r="Q70" s="30"/>
      <c r="R70" s="30"/>
      <c r="S70" s="30"/>
      <c r="T70" s="30"/>
      <c r="U70" s="30"/>
      <c r="V70" s="30"/>
      <c r="W70" s="30"/>
      <c r="X70" s="30"/>
      <c r="Y70" s="30"/>
    </row>
    <row r="71" spans="1:25" ht="14.25" customHeight="1" x14ac:dyDescent="0.25">
      <c r="A71" s="30"/>
      <c r="B71" s="30"/>
      <c r="C71" s="30"/>
      <c r="D71" s="30"/>
      <c r="E71" s="30"/>
      <c r="F71" s="30"/>
      <c r="G71" s="30"/>
      <c r="H71" s="30"/>
      <c r="I71" s="30"/>
      <c r="J71" s="30"/>
      <c r="K71" s="30"/>
      <c r="L71" s="30"/>
      <c r="M71" s="30"/>
      <c r="N71" s="30"/>
      <c r="O71" s="30"/>
      <c r="P71" s="30"/>
      <c r="Q71" s="30"/>
      <c r="R71" s="30"/>
      <c r="S71" s="30"/>
      <c r="T71" s="30"/>
      <c r="U71" s="30"/>
      <c r="V71" s="30"/>
      <c r="W71" s="30"/>
      <c r="X71" s="30"/>
      <c r="Y71" s="30"/>
    </row>
    <row r="72" spans="1:25" ht="14.25" customHeight="1" x14ac:dyDescent="0.25">
      <c r="A72" s="30"/>
      <c r="B72" s="30"/>
      <c r="C72" s="30"/>
      <c r="D72" s="30"/>
      <c r="E72" s="30"/>
      <c r="F72" s="30"/>
      <c r="G72" s="30"/>
      <c r="H72" s="30"/>
      <c r="I72" s="30"/>
      <c r="J72" s="30"/>
      <c r="K72" s="30"/>
      <c r="L72" s="30"/>
      <c r="M72" s="30"/>
      <c r="N72" s="30"/>
      <c r="O72" s="30"/>
      <c r="P72" s="30"/>
      <c r="Q72" s="30"/>
      <c r="R72" s="30"/>
      <c r="S72" s="30"/>
      <c r="T72" s="30"/>
      <c r="U72" s="30"/>
      <c r="V72" s="30"/>
      <c r="W72" s="30"/>
      <c r="X72" s="30"/>
      <c r="Y72" s="30"/>
    </row>
    <row r="73" spans="1:25" ht="14.25" customHeight="1" x14ac:dyDescent="0.25">
      <c r="A73" s="30"/>
      <c r="B73" s="30"/>
      <c r="C73" s="30"/>
      <c r="D73" s="30"/>
      <c r="E73" s="30"/>
      <c r="F73" s="30"/>
      <c r="G73" s="30"/>
      <c r="H73" s="30"/>
      <c r="I73" s="30"/>
      <c r="J73" s="30"/>
      <c r="K73" s="30"/>
      <c r="L73" s="30"/>
      <c r="M73" s="30"/>
      <c r="N73" s="30"/>
      <c r="O73" s="30"/>
      <c r="P73" s="30"/>
      <c r="Q73" s="30"/>
      <c r="R73" s="30"/>
      <c r="S73" s="30"/>
      <c r="T73" s="30"/>
      <c r="U73" s="30"/>
      <c r="V73" s="30"/>
      <c r="W73" s="30"/>
      <c r="X73" s="30"/>
      <c r="Y73" s="30"/>
    </row>
    <row r="74" spans="1:25" ht="14.25" customHeight="1" x14ac:dyDescent="0.25">
      <c r="A74" s="30"/>
      <c r="B74" s="30"/>
      <c r="C74" s="30"/>
      <c r="D74" s="30"/>
      <c r="E74" s="30"/>
      <c r="F74" s="30"/>
      <c r="G74" s="30"/>
      <c r="H74" s="30"/>
      <c r="I74" s="30"/>
      <c r="J74" s="30"/>
      <c r="K74" s="30"/>
      <c r="L74" s="30"/>
      <c r="M74" s="30"/>
      <c r="N74" s="30"/>
      <c r="O74" s="30"/>
      <c r="P74" s="30"/>
      <c r="Q74" s="30"/>
      <c r="R74" s="30"/>
      <c r="S74" s="30"/>
      <c r="T74" s="30"/>
      <c r="U74" s="30"/>
      <c r="V74" s="30"/>
      <c r="W74" s="30"/>
      <c r="X74" s="30"/>
      <c r="Y74" s="30"/>
    </row>
    <row r="75" spans="1:25" ht="14.25" customHeight="1" x14ac:dyDescent="0.25">
      <c r="A75" s="30"/>
      <c r="B75" s="30"/>
      <c r="C75" s="30"/>
      <c r="D75" s="30"/>
      <c r="E75" s="30"/>
      <c r="F75" s="30"/>
      <c r="G75" s="30"/>
      <c r="H75" s="30"/>
      <c r="I75" s="30"/>
      <c r="J75" s="30"/>
      <c r="K75" s="30"/>
      <c r="L75" s="30"/>
      <c r="M75" s="30"/>
      <c r="N75" s="30"/>
      <c r="O75" s="30"/>
      <c r="P75" s="30"/>
      <c r="Q75" s="30"/>
      <c r="R75" s="30"/>
      <c r="S75" s="30"/>
      <c r="T75" s="30"/>
      <c r="U75" s="30"/>
      <c r="V75" s="30"/>
      <c r="W75" s="30"/>
      <c r="X75" s="30"/>
      <c r="Y75" s="30"/>
    </row>
    <row r="76" spans="1:25" ht="14.25" customHeight="1" x14ac:dyDescent="0.25">
      <c r="A76" s="30"/>
      <c r="B76" s="30"/>
      <c r="C76" s="30"/>
      <c r="D76" s="30"/>
      <c r="E76" s="30"/>
      <c r="F76" s="30"/>
      <c r="G76" s="30"/>
      <c r="H76" s="30"/>
      <c r="I76" s="30"/>
      <c r="J76" s="30"/>
      <c r="K76" s="30"/>
      <c r="L76" s="30"/>
      <c r="M76" s="30"/>
      <c r="N76" s="30"/>
      <c r="O76" s="30"/>
      <c r="P76" s="30"/>
      <c r="Q76" s="30"/>
      <c r="R76" s="30"/>
      <c r="S76" s="30"/>
      <c r="T76" s="30"/>
      <c r="U76" s="30"/>
      <c r="V76" s="30"/>
      <c r="W76" s="30"/>
      <c r="X76" s="30"/>
      <c r="Y76" s="30"/>
    </row>
    <row r="77" spans="1:25" ht="14.25" customHeight="1" x14ac:dyDescent="0.25">
      <c r="A77" s="30"/>
      <c r="B77" s="30"/>
      <c r="C77" s="30"/>
      <c r="D77" s="30"/>
      <c r="E77" s="30"/>
      <c r="F77" s="30"/>
      <c r="G77" s="30"/>
      <c r="H77" s="30"/>
      <c r="I77" s="30"/>
      <c r="J77" s="30"/>
      <c r="K77" s="30"/>
      <c r="L77" s="30"/>
      <c r="M77" s="30"/>
      <c r="N77" s="30"/>
      <c r="O77" s="30"/>
      <c r="P77" s="30"/>
      <c r="Q77" s="30"/>
      <c r="R77" s="30"/>
      <c r="S77" s="30"/>
      <c r="T77" s="30"/>
      <c r="U77" s="30"/>
      <c r="V77" s="30"/>
      <c r="W77" s="30"/>
      <c r="X77" s="30"/>
      <c r="Y77" s="30"/>
    </row>
    <row r="78" spans="1:25" ht="14.25" customHeight="1" x14ac:dyDescent="0.25">
      <c r="A78" s="30"/>
      <c r="B78" s="30"/>
      <c r="C78" s="30"/>
      <c r="D78" s="30"/>
      <c r="E78" s="30"/>
      <c r="F78" s="30"/>
      <c r="G78" s="30"/>
      <c r="H78" s="30"/>
      <c r="I78" s="30"/>
      <c r="J78" s="30"/>
      <c r="K78" s="30"/>
      <c r="L78" s="30"/>
      <c r="M78" s="30"/>
      <c r="N78" s="30"/>
      <c r="O78" s="30"/>
      <c r="P78" s="30"/>
      <c r="Q78" s="30"/>
      <c r="R78" s="30"/>
      <c r="S78" s="30"/>
      <c r="T78" s="30"/>
      <c r="U78" s="30"/>
      <c r="V78" s="30"/>
      <c r="W78" s="30"/>
      <c r="X78" s="30"/>
      <c r="Y78" s="30"/>
    </row>
    <row r="79" spans="1:25" ht="14.25" customHeight="1" x14ac:dyDescent="0.25">
      <c r="A79" s="30"/>
      <c r="B79" s="30"/>
      <c r="C79" s="30"/>
      <c r="D79" s="30"/>
      <c r="E79" s="30"/>
      <c r="F79" s="30"/>
      <c r="G79" s="30"/>
      <c r="H79" s="30"/>
      <c r="I79" s="30"/>
      <c r="J79" s="30"/>
      <c r="K79" s="30"/>
      <c r="L79" s="30"/>
      <c r="M79" s="30"/>
      <c r="N79" s="30"/>
      <c r="O79" s="30"/>
      <c r="P79" s="30"/>
      <c r="Q79" s="30"/>
      <c r="R79" s="30"/>
      <c r="S79" s="30"/>
      <c r="T79" s="30"/>
      <c r="U79" s="30"/>
      <c r="V79" s="30"/>
      <c r="W79" s="30"/>
      <c r="X79" s="30"/>
      <c r="Y79" s="30"/>
    </row>
    <row r="80" spans="1:25" ht="14.25" customHeight="1" x14ac:dyDescent="0.25">
      <c r="A80" s="30"/>
      <c r="B80" s="30"/>
      <c r="C80" s="30"/>
      <c r="D80" s="30"/>
      <c r="E80" s="30"/>
      <c r="F80" s="30"/>
      <c r="G80" s="30"/>
      <c r="H80" s="30"/>
      <c r="I80" s="30"/>
      <c r="J80" s="30"/>
      <c r="K80" s="30"/>
      <c r="L80" s="30"/>
      <c r="M80" s="30"/>
      <c r="N80" s="30"/>
      <c r="O80" s="30"/>
      <c r="P80" s="30"/>
      <c r="Q80" s="30"/>
      <c r="R80" s="30"/>
      <c r="S80" s="30"/>
      <c r="T80" s="30"/>
      <c r="U80" s="30"/>
      <c r="V80" s="30"/>
      <c r="W80" s="30"/>
      <c r="X80" s="30"/>
      <c r="Y80" s="30"/>
    </row>
    <row r="81" spans="1:25" ht="14.25" customHeight="1" x14ac:dyDescent="0.25">
      <c r="A81" s="30"/>
      <c r="B81" s="30"/>
      <c r="C81" s="30"/>
      <c r="D81" s="30"/>
      <c r="E81" s="30"/>
      <c r="F81" s="30"/>
      <c r="G81" s="30"/>
      <c r="H81" s="30"/>
      <c r="I81" s="30"/>
      <c r="J81" s="30"/>
      <c r="K81" s="30"/>
      <c r="L81" s="30"/>
      <c r="M81" s="30"/>
      <c r="N81" s="30"/>
      <c r="O81" s="30"/>
      <c r="P81" s="30"/>
      <c r="Q81" s="30"/>
      <c r="R81" s="30"/>
      <c r="S81" s="30"/>
      <c r="T81" s="30"/>
      <c r="U81" s="30"/>
      <c r="V81" s="30"/>
      <c r="W81" s="30"/>
      <c r="X81" s="30"/>
      <c r="Y81" s="30"/>
    </row>
    <row r="82" spans="1:25" ht="14.25" customHeight="1" x14ac:dyDescent="0.25">
      <c r="A82" s="30"/>
      <c r="B82" s="30"/>
      <c r="C82" s="30"/>
      <c r="D82" s="30"/>
      <c r="E82" s="30"/>
      <c r="F82" s="30"/>
      <c r="G82" s="30"/>
      <c r="H82" s="30"/>
      <c r="I82" s="30"/>
      <c r="J82" s="30"/>
      <c r="K82" s="30"/>
      <c r="L82" s="30"/>
      <c r="M82" s="30"/>
      <c r="N82" s="30"/>
      <c r="O82" s="30"/>
      <c r="P82" s="30"/>
      <c r="Q82" s="30"/>
      <c r="R82" s="30"/>
      <c r="S82" s="30"/>
      <c r="T82" s="30"/>
      <c r="U82" s="30"/>
      <c r="V82" s="30"/>
      <c r="W82" s="30"/>
      <c r="X82" s="30"/>
      <c r="Y82" s="30"/>
    </row>
    <row r="83" spans="1:25" ht="14.25" customHeight="1" x14ac:dyDescent="0.25">
      <c r="A83" s="30"/>
      <c r="B83" s="30"/>
      <c r="C83" s="30"/>
      <c r="D83" s="30"/>
      <c r="E83" s="30"/>
      <c r="F83" s="30"/>
      <c r="G83" s="30"/>
      <c r="H83" s="30"/>
      <c r="I83" s="30"/>
      <c r="J83" s="30"/>
      <c r="K83" s="30"/>
      <c r="L83" s="30"/>
      <c r="M83" s="30"/>
      <c r="N83" s="30"/>
      <c r="O83" s="30"/>
      <c r="P83" s="30"/>
      <c r="Q83" s="30"/>
      <c r="R83" s="30"/>
      <c r="S83" s="30"/>
      <c r="T83" s="30"/>
      <c r="U83" s="30"/>
      <c r="V83" s="30"/>
      <c r="W83" s="30"/>
      <c r="X83" s="30"/>
      <c r="Y83" s="30"/>
    </row>
    <row r="84" spans="1:25" ht="14.25" customHeight="1" x14ac:dyDescent="0.25">
      <c r="A84" s="30"/>
      <c r="B84" s="30"/>
      <c r="C84" s="30"/>
      <c r="D84" s="30"/>
      <c r="E84" s="30"/>
      <c r="F84" s="30"/>
      <c r="G84" s="30"/>
      <c r="H84" s="30"/>
      <c r="I84" s="30"/>
      <c r="J84" s="30"/>
      <c r="K84" s="30"/>
      <c r="L84" s="30"/>
      <c r="M84" s="30"/>
      <c r="N84" s="30"/>
      <c r="O84" s="30"/>
      <c r="P84" s="30"/>
      <c r="Q84" s="30"/>
      <c r="R84" s="30"/>
      <c r="S84" s="30"/>
      <c r="T84" s="30"/>
      <c r="U84" s="30"/>
      <c r="V84" s="30"/>
      <c r="W84" s="30"/>
      <c r="X84" s="30"/>
      <c r="Y84" s="30"/>
    </row>
    <row r="85" spans="1:25" ht="14.25" customHeight="1" x14ac:dyDescent="0.25">
      <c r="A85" s="30"/>
      <c r="B85" s="30"/>
      <c r="C85" s="30"/>
      <c r="D85" s="30"/>
      <c r="E85" s="30"/>
      <c r="F85" s="30"/>
      <c r="G85" s="30"/>
      <c r="H85" s="30"/>
      <c r="I85" s="30"/>
      <c r="J85" s="30"/>
      <c r="K85" s="30"/>
      <c r="L85" s="30"/>
      <c r="M85" s="30"/>
      <c r="N85" s="30"/>
      <c r="O85" s="30"/>
      <c r="P85" s="30"/>
      <c r="Q85" s="30"/>
      <c r="R85" s="30"/>
      <c r="S85" s="30"/>
      <c r="T85" s="30"/>
      <c r="U85" s="30"/>
      <c r="V85" s="30"/>
      <c r="W85" s="30"/>
      <c r="X85" s="30"/>
      <c r="Y85" s="30"/>
    </row>
    <row r="86" spans="1:25" ht="14.25" customHeight="1" x14ac:dyDescent="0.25">
      <c r="A86" s="30"/>
      <c r="B86" s="30"/>
      <c r="C86" s="30"/>
      <c r="D86" s="30"/>
      <c r="E86" s="30"/>
      <c r="F86" s="30"/>
      <c r="G86" s="30"/>
      <c r="H86" s="30"/>
      <c r="I86" s="30"/>
      <c r="J86" s="30"/>
      <c r="K86" s="30"/>
      <c r="L86" s="30"/>
      <c r="M86" s="30"/>
      <c r="N86" s="30"/>
      <c r="O86" s="30"/>
      <c r="P86" s="30"/>
      <c r="Q86" s="30"/>
      <c r="R86" s="30"/>
      <c r="S86" s="30"/>
      <c r="T86" s="30"/>
      <c r="U86" s="30"/>
      <c r="V86" s="30"/>
      <c r="W86" s="30"/>
      <c r="X86" s="30"/>
      <c r="Y86" s="30"/>
    </row>
    <row r="87" spans="1:25" ht="14.25" customHeight="1" x14ac:dyDescent="0.25">
      <c r="A87" s="30"/>
      <c r="B87" s="30"/>
      <c r="C87" s="30"/>
      <c r="D87" s="30"/>
      <c r="E87" s="30"/>
      <c r="F87" s="30"/>
      <c r="G87" s="30"/>
      <c r="H87" s="30"/>
      <c r="I87" s="30"/>
      <c r="J87" s="30"/>
      <c r="K87" s="30"/>
      <c r="L87" s="30"/>
      <c r="M87" s="30"/>
      <c r="N87" s="30"/>
      <c r="O87" s="30"/>
      <c r="P87" s="30"/>
      <c r="Q87" s="30"/>
      <c r="R87" s="30"/>
      <c r="S87" s="30"/>
      <c r="T87" s="30"/>
      <c r="U87" s="30"/>
      <c r="V87" s="30"/>
      <c r="W87" s="30"/>
      <c r="X87" s="30"/>
      <c r="Y87" s="30"/>
    </row>
    <row r="88" spans="1:25" ht="14.25" customHeight="1" x14ac:dyDescent="0.25">
      <c r="A88" s="30"/>
      <c r="B88" s="30"/>
      <c r="C88" s="30"/>
      <c r="D88" s="30"/>
      <c r="E88" s="30"/>
      <c r="F88" s="30"/>
      <c r="G88" s="30"/>
      <c r="H88" s="30"/>
      <c r="I88" s="30"/>
      <c r="J88" s="30"/>
      <c r="K88" s="30"/>
      <c r="L88" s="30"/>
      <c r="M88" s="30"/>
      <c r="N88" s="30"/>
      <c r="O88" s="30"/>
      <c r="P88" s="30"/>
      <c r="Q88" s="30"/>
      <c r="R88" s="30"/>
      <c r="S88" s="30"/>
      <c r="T88" s="30"/>
      <c r="U88" s="30"/>
      <c r="V88" s="30"/>
      <c r="W88" s="30"/>
      <c r="X88" s="30"/>
      <c r="Y88" s="30"/>
    </row>
    <row r="89" spans="1:25" ht="14.25" customHeight="1" x14ac:dyDescent="0.25">
      <c r="A89" s="30"/>
      <c r="B89" s="30"/>
      <c r="C89" s="30"/>
      <c r="D89" s="30"/>
      <c r="E89" s="30"/>
      <c r="F89" s="30"/>
      <c r="G89" s="30"/>
      <c r="H89" s="30"/>
      <c r="I89" s="30"/>
      <c r="J89" s="30"/>
      <c r="K89" s="30"/>
      <c r="L89" s="30"/>
      <c r="M89" s="30"/>
      <c r="N89" s="30"/>
      <c r="O89" s="30"/>
      <c r="P89" s="30"/>
      <c r="Q89" s="30"/>
      <c r="R89" s="30"/>
      <c r="S89" s="30"/>
      <c r="T89" s="30"/>
      <c r="U89" s="30"/>
      <c r="V89" s="30"/>
      <c r="W89" s="30"/>
      <c r="X89" s="30"/>
      <c r="Y89" s="30"/>
    </row>
    <row r="90" spans="1:25" ht="14.25" customHeight="1" x14ac:dyDescent="0.25">
      <c r="A90" s="30"/>
      <c r="B90" s="30"/>
      <c r="C90" s="30"/>
      <c r="D90" s="30"/>
      <c r="E90" s="30"/>
      <c r="F90" s="30"/>
      <c r="G90" s="30"/>
      <c r="H90" s="30"/>
      <c r="I90" s="30"/>
      <c r="J90" s="30"/>
      <c r="K90" s="30"/>
      <c r="L90" s="30"/>
      <c r="M90" s="30"/>
      <c r="N90" s="30"/>
      <c r="O90" s="30"/>
      <c r="P90" s="30"/>
      <c r="Q90" s="30"/>
      <c r="R90" s="30"/>
      <c r="S90" s="30"/>
      <c r="T90" s="30"/>
      <c r="U90" s="30"/>
      <c r="V90" s="30"/>
      <c r="W90" s="30"/>
      <c r="X90" s="30"/>
      <c r="Y90" s="30"/>
    </row>
    <row r="91" spans="1:25" ht="14.25" customHeight="1" x14ac:dyDescent="0.25">
      <c r="A91" s="30"/>
      <c r="B91" s="30"/>
      <c r="C91" s="30"/>
      <c r="D91" s="30"/>
      <c r="E91" s="30"/>
      <c r="F91" s="30"/>
      <c r="G91" s="30"/>
      <c r="H91" s="30"/>
      <c r="I91" s="30"/>
      <c r="J91" s="30"/>
      <c r="K91" s="30"/>
      <c r="L91" s="30"/>
      <c r="M91" s="30"/>
      <c r="N91" s="30"/>
      <c r="O91" s="30"/>
      <c r="P91" s="30"/>
      <c r="Q91" s="30"/>
      <c r="R91" s="30"/>
      <c r="S91" s="30"/>
      <c r="T91" s="30"/>
      <c r="U91" s="30"/>
      <c r="V91" s="30"/>
      <c r="W91" s="30"/>
      <c r="X91" s="30"/>
      <c r="Y91" s="30"/>
    </row>
    <row r="92" spans="1:25" ht="14.25" customHeight="1" x14ac:dyDescent="0.25">
      <c r="A92" s="30"/>
      <c r="B92" s="30"/>
      <c r="C92" s="30"/>
      <c r="D92" s="30"/>
      <c r="E92" s="30"/>
      <c r="F92" s="30"/>
      <c r="G92" s="30"/>
      <c r="H92" s="30"/>
      <c r="I92" s="30"/>
      <c r="J92" s="30"/>
      <c r="K92" s="30"/>
      <c r="L92" s="30"/>
      <c r="M92" s="30"/>
      <c r="N92" s="30"/>
      <c r="O92" s="30"/>
      <c r="P92" s="30"/>
      <c r="Q92" s="30"/>
      <c r="R92" s="30"/>
      <c r="S92" s="30"/>
      <c r="T92" s="30"/>
      <c r="U92" s="30"/>
      <c r="V92" s="30"/>
      <c r="W92" s="30"/>
      <c r="X92" s="30"/>
      <c r="Y92" s="30"/>
    </row>
    <row r="93" spans="1:25" ht="14.25" customHeight="1" x14ac:dyDescent="0.25">
      <c r="A93" s="30"/>
      <c r="B93" s="30"/>
      <c r="C93" s="30"/>
      <c r="D93" s="30"/>
      <c r="E93" s="30"/>
      <c r="F93" s="30"/>
      <c r="G93" s="30"/>
      <c r="H93" s="30"/>
      <c r="I93" s="30"/>
      <c r="J93" s="30"/>
      <c r="K93" s="30"/>
      <c r="L93" s="30"/>
      <c r="M93" s="30"/>
      <c r="N93" s="30"/>
      <c r="O93" s="30"/>
      <c r="P93" s="30"/>
      <c r="Q93" s="30"/>
      <c r="R93" s="30"/>
      <c r="S93" s="30"/>
      <c r="T93" s="30"/>
      <c r="U93" s="30"/>
      <c r="V93" s="30"/>
      <c r="W93" s="30"/>
      <c r="X93" s="30"/>
      <c r="Y93" s="30"/>
    </row>
    <row r="94" spans="1:25" ht="14.25" customHeight="1" x14ac:dyDescent="0.25">
      <c r="A94" s="30"/>
      <c r="B94" s="30"/>
      <c r="C94" s="30"/>
      <c r="D94" s="30"/>
      <c r="E94" s="30"/>
      <c r="F94" s="30"/>
      <c r="G94" s="30"/>
      <c r="H94" s="30"/>
      <c r="I94" s="30"/>
      <c r="J94" s="30"/>
      <c r="K94" s="30"/>
      <c r="L94" s="30"/>
      <c r="M94" s="30"/>
      <c r="N94" s="30"/>
      <c r="O94" s="30"/>
      <c r="P94" s="30"/>
      <c r="Q94" s="30"/>
      <c r="R94" s="30"/>
      <c r="S94" s="30"/>
      <c r="T94" s="30"/>
      <c r="U94" s="30"/>
      <c r="V94" s="30"/>
      <c r="W94" s="30"/>
      <c r="X94" s="30"/>
      <c r="Y94" s="30"/>
    </row>
    <row r="95" spans="1:25" ht="14.25" customHeight="1" x14ac:dyDescent="0.25">
      <c r="A95" s="30"/>
      <c r="B95" s="30"/>
      <c r="C95" s="30"/>
      <c r="D95" s="30"/>
      <c r="E95" s="30"/>
      <c r="F95" s="30"/>
      <c r="G95" s="30"/>
      <c r="H95" s="30"/>
      <c r="I95" s="30"/>
      <c r="J95" s="30"/>
      <c r="K95" s="30"/>
      <c r="L95" s="30"/>
      <c r="M95" s="30"/>
      <c r="N95" s="30"/>
      <c r="O95" s="30"/>
      <c r="P95" s="30"/>
      <c r="Q95" s="30"/>
      <c r="R95" s="30"/>
      <c r="S95" s="30"/>
      <c r="T95" s="30"/>
      <c r="U95" s="30"/>
      <c r="V95" s="30"/>
      <c r="W95" s="30"/>
      <c r="X95" s="30"/>
      <c r="Y95" s="30"/>
    </row>
    <row r="96" spans="1:25" ht="14.25" customHeight="1" x14ac:dyDescent="0.25">
      <c r="A96" s="30"/>
      <c r="B96" s="30"/>
      <c r="C96" s="30"/>
      <c r="D96" s="30"/>
      <c r="E96" s="30"/>
      <c r="F96" s="30"/>
      <c r="G96" s="30"/>
      <c r="H96" s="30"/>
      <c r="I96" s="30"/>
      <c r="J96" s="30"/>
      <c r="K96" s="30"/>
      <c r="L96" s="30"/>
      <c r="M96" s="30"/>
      <c r="N96" s="30"/>
      <c r="O96" s="30"/>
      <c r="P96" s="30"/>
      <c r="Q96" s="30"/>
      <c r="R96" s="30"/>
      <c r="S96" s="30"/>
      <c r="T96" s="30"/>
      <c r="U96" s="30"/>
      <c r="V96" s="30"/>
      <c r="W96" s="30"/>
      <c r="X96" s="30"/>
      <c r="Y96" s="30"/>
    </row>
    <row r="97" spans="1:25" ht="14.25" customHeight="1" x14ac:dyDescent="0.25">
      <c r="A97" s="30"/>
      <c r="B97" s="30"/>
      <c r="C97" s="30"/>
      <c r="D97" s="30"/>
      <c r="E97" s="30"/>
      <c r="F97" s="30"/>
      <c r="G97" s="30"/>
      <c r="H97" s="30"/>
      <c r="I97" s="30"/>
      <c r="J97" s="30"/>
      <c r="K97" s="30"/>
      <c r="L97" s="30"/>
      <c r="M97" s="30"/>
      <c r="N97" s="30"/>
      <c r="O97" s="30"/>
      <c r="P97" s="30"/>
      <c r="Q97" s="30"/>
      <c r="R97" s="30"/>
      <c r="S97" s="30"/>
      <c r="T97" s="30"/>
      <c r="U97" s="30"/>
      <c r="V97" s="30"/>
      <c r="W97" s="30"/>
      <c r="X97" s="30"/>
      <c r="Y97" s="30"/>
    </row>
    <row r="98" spans="1:25" ht="14.25" customHeight="1" x14ac:dyDescent="0.25">
      <c r="A98" s="30"/>
      <c r="B98" s="30"/>
      <c r="C98" s="30"/>
      <c r="D98" s="30"/>
      <c r="E98" s="30"/>
      <c r="F98" s="30"/>
      <c r="G98" s="30"/>
      <c r="H98" s="30"/>
      <c r="I98" s="30"/>
      <c r="J98" s="30"/>
      <c r="K98" s="30"/>
      <c r="L98" s="30"/>
      <c r="M98" s="30"/>
      <c r="N98" s="30"/>
      <c r="O98" s="30"/>
      <c r="P98" s="30"/>
      <c r="Q98" s="30"/>
      <c r="R98" s="30"/>
      <c r="S98" s="30"/>
      <c r="T98" s="30"/>
      <c r="U98" s="30"/>
      <c r="V98" s="30"/>
      <c r="W98" s="30"/>
      <c r="X98" s="30"/>
      <c r="Y98" s="30"/>
    </row>
    <row r="99" spans="1:25" ht="14.25" customHeight="1" x14ac:dyDescent="0.25">
      <c r="A99" s="30"/>
      <c r="B99" s="30"/>
      <c r="C99" s="30"/>
      <c r="D99" s="30"/>
      <c r="E99" s="30"/>
      <c r="F99" s="30"/>
      <c r="G99" s="30"/>
      <c r="H99" s="30"/>
      <c r="I99" s="30"/>
      <c r="J99" s="30"/>
      <c r="K99" s="30"/>
      <c r="L99" s="30"/>
      <c r="M99" s="30"/>
      <c r="N99" s="30"/>
      <c r="O99" s="30"/>
      <c r="P99" s="30"/>
      <c r="Q99" s="30"/>
      <c r="R99" s="30"/>
      <c r="S99" s="30"/>
      <c r="T99" s="30"/>
      <c r="U99" s="30"/>
      <c r="V99" s="30"/>
      <c r="W99" s="30"/>
      <c r="X99" s="30"/>
      <c r="Y99" s="30"/>
    </row>
    <row r="100" spans="1:25" ht="14.25" customHeight="1" x14ac:dyDescent="0.25">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row>
    <row r="101" spans="1:25" ht="14.25" customHeight="1" x14ac:dyDescent="0.25">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row>
    <row r="102" spans="1:25" ht="14.25" customHeight="1" x14ac:dyDescent="0.25">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row>
    <row r="103" spans="1:25" ht="14.25" customHeight="1" x14ac:dyDescent="0.25">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row>
    <row r="104" spans="1:25" ht="14.25" customHeight="1" x14ac:dyDescent="0.25">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row>
    <row r="105" spans="1:25" ht="14.25" customHeight="1" x14ac:dyDescent="0.2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row>
    <row r="106" spans="1:25" ht="14.25" customHeight="1" x14ac:dyDescent="0.25">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row>
    <row r="107" spans="1:25" ht="14.25" customHeight="1" x14ac:dyDescent="0.25">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row>
    <row r="108" spans="1:25" ht="14.25" customHeight="1" x14ac:dyDescent="0.25">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row>
    <row r="109" spans="1:25" ht="14.25" customHeight="1" x14ac:dyDescent="0.25">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row>
    <row r="110" spans="1:25" ht="14.25" customHeight="1" x14ac:dyDescent="0.25">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row>
    <row r="111" spans="1:25" ht="14.25" customHeight="1" x14ac:dyDescent="0.25">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row>
    <row r="112" spans="1:25" ht="14.25" customHeight="1" x14ac:dyDescent="0.25">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row>
    <row r="113" spans="1:25" ht="14.25" customHeight="1" x14ac:dyDescent="0.25">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row>
    <row r="114" spans="1:25" ht="14.25" customHeight="1" x14ac:dyDescent="0.25">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row>
    <row r="115" spans="1:25" ht="14.25" customHeight="1" x14ac:dyDescent="0.2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row>
    <row r="116" spans="1:25" ht="14.25" customHeight="1" x14ac:dyDescent="0.25">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row>
    <row r="117" spans="1:25" ht="14.25" customHeight="1" x14ac:dyDescent="0.25">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row>
    <row r="118" spans="1:25" ht="14.25" customHeight="1" x14ac:dyDescent="0.25">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row>
    <row r="119" spans="1:25" ht="14.25" customHeight="1" x14ac:dyDescent="0.25">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row>
    <row r="120" spans="1:25" ht="14.25" customHeight="1" x14ac:dyDescent="0.25">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row>
    <row r="121" spans="1:25" ht="14.25" customHeight="1" x14ac:dyDescent="0.25">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row>
    <row r="122" spans="1:25" ht="14.25" customHeight="1" x14ac:dyDescent="0.25">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row>
    <row r="123" spans="1:25" ht="14.25" customHeight="1" x14ac:dyDescent="0.25">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row>
    <row r="124" spans="1:25" ht="14.25" customHeight="1" x14ac:dyDescent="0.25">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row>
    <row r="125" spans="1:25" ht="14.25" customHeight="1" x14ac:dyDescent="0.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row>
    <row r="126" spans="1:25" ht="14.25" customHeight="1" x14ac:dyDescent="0.25">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row>
    <row r="127" spans="1:25" ht="14.25" customHeight="1" x14ac:dyDescent="0.25">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row>
    <row r="128" spans="1:25" ht="14.25" customHeight="1" x14ac:dyDescent="0.25">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row>
    <row r="129" spans="1:25" ht="14.25" customHeight="1" x14ac:dyDescent="0.25">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row>
    <row r="130" spans="1:25" ht="14.25" customHeight="1" x14ac:dyDescent="0.25">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row>
    <row r="131" spans="1:25" ht="14.25" customHeight="1" x14ac:dyDescent="0.25">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row>
    <row r="132" spans="1:25" ht="14.25" customHeight="1" x14ac:dyDescent="0.25">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row>
    <row r="133" spans="1:25" ht="14.25" customHeight="1" x14ac:dyDescent="0.25">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row>
    <row r="134" spans="1:25" ht="14.25" customHeight="1" x14ac:dyDescent="0.25">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row>
    <row r="135" spans="1:25" ht="14.25" customHeight="1" x14ac:dyDescent="0.2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row>
    <row r="136" spans="1:25" ht="14.25" customHeight="1" x14ac:dyDescent="0.25">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row>
    <row r="137" spans="1:25" ht="14.25" customHeight="1" x14ac:dyDescent="0.25">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row>
    <row r="138" spans="1:25" ht="14.25" customHeight="1" x14ac:dyDescent="0.25">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row>
    <row r="139" spans="1:25" ht="14.25" customHeight="1" x14ac:dyDescent="0.25">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row>
    <row r="140" spans="1:25" ht="14.25" customHeight="1" x14ac:dyDescent="0.25">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row>
    <row r="141" spans="1:25" ht="14.25" customHeight="1" x14ac:dyDescent="0.25">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row>
    <row r="142" spans="1:25" ht="14.25" customHeight="1" x14ac:dyDescent="0.25">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row>
    <row r="143" spans="1:25" ht="14.25" customHeight="1" x14ac:dyDescent="0.25">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row>
    <row r="144" spans="1:25" ht="14.25" customHeight="1" x14ac:dyDescent="0.25">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row>
    <row r="145" spans="1:25" ht="14.25" customHeight="1" x14ac:dyDescent="0.2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row>
    <row r="146" spans="1:25" ht="14.25" customHeight="1" x14ac:dyDescent="0.25">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row>
    <row r="147" spans="1:25" ht="14.25" customHeight="1" x14ac:dyDescent="0.25">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row>
    <row r="148" spans="1:25" ht="14.25" customHeight="1" x14ac:dyDescent="0.25">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row>
    <row r="149" spans="1:25" ht="14.25" customHeight="1" x14ac:dyDescent="0.25">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row>
    <row r="150" spans="1:25" ht="14.25" customHeight="1" x14ac:dyDescent="0.25">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row>
    <row r="151" spans="1:25" ht="14.25" customHeight="1" x14ac:dyDescent="0.25">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row>
    <row r="152" spans="1:25" ht="14.25" customHeight="1" x14ac:dyDescent="0.25">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row>
    <row r="153" spans="1:25" ht="14.25" customHeight="1" x14ac:dyDescent="0.25">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row>
    <row r="154" spans="1:25" ht="14.25" customHeight="1" x14ac:dyDescent="0.25">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row>
    <row r="155" spans="1:25" ht="14.25" customHeight="1" x14ac:dyDescent="0.2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row>
    <row r="156" spans="1:25" ht="14.25" customHeight="1" x14ac:dyDescent="0.25">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row>
    <row r="157" spans="1:25" ht="14.25" customHeight="1" x14ac:dyDescent="0.25">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row>
    <row r="158" spans="1:25" ht="14.25" customHeight="1" x14ac:dyDescent="0.25">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row>
    <row r="159" spans="1:25" ht="14.25" customHeight="1" x14ac:dyDescent="0.25">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row>
    <row r="160" spans="1:25" ht="14.25" customHeight="1" x14ac:dyDescent="0.25">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row>
    <row r="161" spans="1:25" ht="14.25" customHeight="1" x14ac:dyDescent="0.25">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row>
    <row r="162" spans="1:25" ht="14.25" customHeight="1" x14ac:dyDescent="0.25">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row>
    <row r="163" spans="1:25" ht="14.25" customHeight="1" x14ac:dyDescent="0.25">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row>
    <row r="164" spans="1:25" ht="14.25" customHeight="1" x14ac:dyDescent="0.25">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row>
    <row r="165" spans="1:25" ht="14.25" customHeight="1" x14ac:dyDescent="0.2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row>
    <row r="166" spans="1:25" ht="14.25" customHeight="1" x14ac:dyDescent="0.25">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row>
    <row r="167" spans="1:25" ht="14.25" customHeight="1" x14ac:dyDescent="0.25">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row>
    <row r="168" spans="1:25" ht="14.25" customHeight="1" x14ac:dyDescent="0.25">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row>
    <row r="169" spans="1:25" ht="14.25" customHeight="1" x14ac:dyDescent="0.25">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row>
    <row r="170" spans="1:25" ht="14.25" customHeight="1" x14ac:dyDescent="0.25">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row>
    <row r="171" spans="1:25" ht="14.25" customHeight="1" x14ac:dyDescent="0.25">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row>
    <row r="172" spans="1:25" ht="14.25" customHeight="1" x14ac:dyDescent="0.25">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row>
    <row r="173" spans="1:25" ht="14.25" customHeight="1" x14ac:dyDescent="0.25">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row>
    <row r="174" spans="1:25" ht="14.25" customHeight="1" x14ac:dyDescent="0.25">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row>
    <row r="175" spans="1:25" ht="14.25" customHeight="1" x14ac:dyDescent="0.2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row>
    <row r="176" spans="1:25" ht="14.25" customHeight="1" x14ac:dyDescent="0.25">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row>
    <row r="177" spans="1:25" ht="14.25" customHeight="1" x14ac:dyDescent="0.25">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row>
    <row r="178" spans="1:25" ht="14.25" customHeight="1" x14ac:dyDescent="0.25">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row>
    <row r="179" spans="1:25" ht="14.25" customHeight="1" x14ac:dyDescent="0.25">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row>
    <row r="180" spans="1:25" ht="14.25" customHeight="1" x14ac:dyDescent="0.25">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row>
    <row r="181" spans="1:25" ht="14.25" customHeight="1" x14ac:dyDescent="0.25">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row>
    <row r="182" spans="1:25" ht="14.25" customHeight="1" x14ac:dyDescent="0.25">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spans="1:25" ht="14.25" customHeight="1" x14ac:dyDescent="0.25">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row>
    <row r="184" spans="1:25" ht="14.25" customHeight="1" x14ac:dyDescent="0.25">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spans="1:25" ht="14.25" customHeight="1" x14ac:dyDescent="0.2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row>
    <row r="186" spans="1:25" ht="14.25" customHeight="1" x14ac:dyDescent="0.25">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row>
    <row r="187" spans="1:25" ht="14.25" customHeight="1" x14ac:dyDescent="0.25">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row>
    <row r="188" spans="1:25" ht="14.25" customHeight="1" x14ac:dyDescent="0.25">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row>
    <row r="189" spans="1:25" ht="14.25" customHeight="1" x14ac:dyDescent="0.25">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row>
    <row r="190" spans="1:25" ht="14.25" customHeight="1" x14ac:dyDescent="0.25">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row>
    <row r="191" spans="1:25" ht="14.25" customHeight="1" x14ac:dyDescent="0.25">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row>
    <row r="192" spans="1:25" ht="14.25" customHeight="1" x14ac:dyDescent="0.25">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row>
    <row r="193" spans="1:25" ht="14.25" customHeight="1" x14ac:dyDescent="0.25">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row>
    <row r="194" spans="1:25" ht="14.25" customHeight="1" x14ac:dyDescent="0.25">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row>
    <row r="195" spans="1:25" ht="14.25" customHeight="1" x14ac:dyDescent="0.2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row>
    <row r="196" spans="1:25" ht="14.25" customHeight="1" x14ac:dyDescent="0.25">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row>
    <row r="197" spans="1:25" ht="14.25" customHeight="1" x14ac:dyDescent="0.25">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row>
    <row r="198" spans="1:25" ht="14.25" customHeight="1" x14ac:dyDescent="0.25">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row>
    <row r="199" spans="1:25" ht="14.25" customHeight="1" x14ac:dyDescent="0.25">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row>
    <row r="200" spans="1:25" ht="14.25" customHeight="1" x14ac:dyDescent="0.25">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row>
    <row r="201" spans="1:25" ht="14.25" customHeight="1" x14ac:dyDescent="0.25">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row>
    <row r="202" spans="1:25" ht="14.25" customHeight="1" x14ac:dyDescent="0.25">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row>
    <row r="203" spans="1:25" ht="14.25" customHeight="1" x14ac:dyDescent="0.25">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row>
    <row r="204" spans="1:25" ht="14.25" customHeight="1" x14ac:dyDescent="0.25">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row>
    <row r="205" spans="1:25" ht="14.25" customHeight="1" x14ac:dyDescent="0.2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row>
    <row r="206" spans="1:25" ht="14.25" customHeight="1" x14ac:dyDescent="0.25">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row>
    <row r="207" spans="1:25" ht="14.25" customHeight="1" x14ac:dyDescent="0.25">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row>
    <row r="208" spans="1:25" ht="14.25" customHeight="1" x14ac:dyDescent="0.25">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row>
    <row r="209" spans="1:25" ht="14.25" customHeight="1" x14ac:dyDescent="0.25">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row>
    <row r="210" spans="1:25" ht="14.25" customHeight="1" x14ac:dyDescent="0.25">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row>
    <row r="211" spans="1:25" ht="14.25" customHeight="1" x14ac:dyDescent="0.25">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row>
    <row r="212" spans="1:25" ht="14.25" customHeight="1" x14ac:dyDescent="0.25">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row>
    <row r="213" spans="1:25" ht="14.25" customHeight="1" x14ac:dyDescent="0.25">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row>
    <row r="214" spans="1:25" ht="14.25" customHeight="1" x14ac:dyDescent="0.25">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row>
    <row r="215" spans="1:25" ht="14.25" customHeight="1" x14ac:dyDescent="0.2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row>
    <row r="216" spans="1:25" ht="14.25" customHeight="1" x14ac:dyDescent="0.25">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row>
    <row r="217" spans="1:25" ht="14.25" customHeight="1" x14ac:dyDescent="0.25">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row>
    <row r="218" spans="1:25" ht="14.25" customHeight="1" x14ac:dyDescent="0.25">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row>
    <row r="219" spans="1:25" ht="14.25" customHeight="1" x14ac:dyDescent="0.25">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row>
    <row r="220" spans="1:25" ht="14.25" customHeight="1" x14ac:dyDescent="0.25">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row>
    <row r="221" spans="1:25" ht="14.25" customHeight="1" x14ac:dyDescent="0.25">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row>
    <row r="222" spans="1:25" ht="14.25" customHeight="1" x14ac:dyDescent="0.25">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row>
    <row r="223" spans="1:25" ht="14.25" customHeight="1" x14ac:dyDescent="0.25">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row>
    <row r="224" spans="1:25" ht="14.25" customHeight="1" x14ac:dyDescent="0.25">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row>
    <row r="225" spans="1:25" ht="14.25" customHeight="1" x14ac:dyDescent="0.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row>
    <row r="226" spans="1:25" ht="14.25" customHeight="1" x14ac:dyDescent="0.25">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row>
    <row r="227" spans="1:25" ht="14.25" customHeight="1" x14ac:dyDescent="0.25">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row>
    <row r="228" spans="1:25" ht="14.25" customHeight="1" x14ac:dyDescent="0.25">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row>
    <row r="229" spans="1:25" ht="14.25" customHeight="1" x14ac:dyDescent="0.25">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row>
    <row r="230" spans="1:25" ht="14.25" customHeight="1" x14ac:dyDescent="0.25">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row>
    <row r="231" spans="1:25" ht="14.25" customHeight="1" x14ac:dyDescent="0.25">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row>
    <row r="232" spans="1:25" ht="14.25" customHeight="1" x14ac:dyDescent="0.25">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row>
    <row r="233" spans="1:25" ht="14.25" customHeight="1" x14ac:dyDescent="0.25">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row>
    <row r="234" spans="1:25" ht="14.25" customHeight="1" x14ac:dyDescent="0.25">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row>
    <row r="235" spans="1:25" ht="14.25" customHeight="1" x14ac:dyDescent="0.2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row>
    <row r="236" spans="1:25" ht="14.25" customHeight="1" x14ac:dyDescent="0.25">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row>
    <row r="237" spans="1:25" ht="14.25" customHeight="1" x14ac:dyDescent="0.25">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row>
    <row r="238" spans="1:25" ht="14.25" customHeight="1" x14ac:dyDescent="0.25">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row>
    <row r="239" spans="1:25" ht="14.25" customHeight="1" x14ac:dyDescent="0.25">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row>
    <row r="240" spans="1:25" ht="14.25" customHeight="1" x14ac:dyDescent="0.25">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row>
    <row r="241" spans="1:25" ht="14.25" customHeight="1" x14ac:dyDescent="0.25">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row>
    <row r="242" spans="1:25" ht="14.25" customHeight="1" x14ac:dyDescent="0.25">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row>
    <row r="243" spans="1:25" ht="14.25" customHeight="1" x14ac:dyDescent="0.25">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row>
    <row r="244" spans="1:25" ht="14.25" customHeight="1" x14ac:dyDescent="0.25">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row>
    <row r="245" spans="1:25" ht="14.25" customHeight="1" x14ac:dyDescent="0.2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row>
    <row r="246" spans="1:25" ht="14.25" customHeight="1" x14ac:dyDescent="0.25">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row>
    <row r="247" spans="1:25" ht="14.25" customHeight="1" x14ac:dyDescent="0.25">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row>
    <row r="248" spans="1:25" ht="14.25" customHeight="1" x14ac:dyDescent="0.25">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row>
    <row r="249" spans="1:25" ht="14.25" customHeight="1" x14ac:dyDescent="0.25">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row>
    <row r="250" spans="1:25" ht="14.25" customHeight="1" x14ac:dyDescent="0.25">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row>
    <row r="251" spans="1:25" ht="14.25" customHeight="1" x14ac:dyDescent="0.25">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row>
    <row r="252" spans="1:25" ht="14.25" customHeight="1" x14ac:dyDescent="0.25">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row>
    <row r="253" spans="1:25" ht="14.25" customHeight="1" x14ac:dyDescent="0.25">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row>
    <row r="254" spans="1:25" ht="14.25" customHeight="1" x14ac:dyDescent="0.25">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row>
    <row r="255" spans="1:25" ht="14.25" customHeight="1" x14ac:dyDescent="0.2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row>
    <row r="256" spans="1:25" ht="14.25" customHeight="1" x14ac:dyDescent="0.25">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row>
    <row r="257" spans="1:25" ht="14.25" customHeight="1" x14ac:dyDescent="0.25">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row>
    <row r="258" spans="1:25" ht="14.25" customHeight="1" x14ac:dyDescent="0.25">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row>
    <row r="259" spans="1:25" ht="14.25" customHeight="1" x14ac:dyDescent="0.25">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row>
    <row r="260" spans="1:25" ht="14.25" customHeight="1" x14ac:dyDescent="0.25">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row>
    <row r="261" spans="1:25" ht="14.25" customHeight="1" x14ac:dyDescent="0.25">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row>
    <row r="262" spans="1:25" ht="14.25" customHeight="1" x14ac:dyDescent="0.25">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row>
    <row r="263" spans="1:25" ht="14.25" customHeight="1" x14ac:dyDescent="0.25">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row>
    <row r="264" spans="1:25" ht="14.25" customHeight="1" x14ac:dyDescent="0.25">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row>
    <row r="265" spans="1:25" ht="14.25" customHeight="1" x14ac:dyDescent="0.2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row>
    <row r="266" spans="1:25" ht="14.25" customHeight="1" x14ac:dyDescent="0.25">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row>
    <row r="267" spans="1:25" ht="14.25" customHeight="1" x14ac:dyDescent="0.25">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row>
    <row r="268" spans="1:25" ht="14.25" customHeight="1" x14ac:dyDescent="0.25">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row>
    <row r="269" spans="1:25" ht="14.25" customHeight="1" x14ac:dyDescent="0.25">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row>
    <row r="270" spans="1:25" ht="14.25" customHeight="1" x14ac:dyDescent="0.25">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row>
    <row r="271" spans="1:25" ht="14.25" customHeight="1" x14ac:dyDescent="0.25">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row>
    <row r="272" spans="1:25" ht="14.25" customHeight="1" x14ac:dyDescent="0.25">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row>
    <row r="273" spans="1:25" ht="14.25" customHeight="1" x14ac:dyDescent="0.25">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row>
    <row r="274" spans="1:25" ht="14.25" customHeight="1" x14ac:dyDescent="0.25">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row>
    <row r="275" spans="1:25" ht="14.25" customHeight="1" x14ac:dyDescent="0.2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row>
    <row r="276" spans="1:25" ht="14.25" customHeight="1" x14ac:dyDescent="0.25">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row>
    <row r="277" spans="1:25" ht="14.25" customHeight="1" x14ac:dyDescent="0.25">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row>
    <row r="278" spans="1:25" ht="14.25" customHeight="1" x14ac:dyDescent="0.25">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row>
    <row r="279" spans="1:25" ht="14.25" customHeight="1" x14ac:dyDescent="0.25">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row>
    <row r="280" spans="1:25" ht="14.25" customHeight="1" x14ac:dyDescent="0.25">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row>
    <row r="281" spans="1:25" ht="14.25" customHeight="1" x14ac:dyDescent="0.25">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row>
    <row r="282" spans="1:25" ht="14.25" customHeight="1" x14ac:dyDescent="0.25">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row>
    <row r="283" spans="1:25" ht="14.25" customHeight="1" x14ac:dyDescent="0.25">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row>
    <row r="284" spans="1:25" ht="14.25" customHeight="1" x14ac:dyDescent="0.25">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row>
    <row r="285" spans="1:25" ht="14.25" customHeight="1" x14ac:dyDescent="0.2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row>
    <row r="286" spans="1:25" ht="14.25" customHeight="1" x14ac:dyDescent="0.25">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row>
    <row r="287" spans="1:25" ht="14.25" customHeight="1" x14ac:dyDescent="0.25">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row>
    <row r="288" spans="1:25" ht="14.25" customHeight="1" x14ac:dyDescent="0.25">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row>
    <row r="289" spans="1:25" ht="14.25" customHeight="1" x14ac:dyDescent="0.25">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row>
    <row r="290" spans="1:25" ht="14.25" customHeight="1" x14ac:dyDescent="0.25">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row>
    <row r="291" spans="1:25" ht="14.25" customHeight="1" x14ac:dyDescent="0.25">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row>
    <row r="292" spans="1:25" ht="14.25" customHeight="1" x14ac:dyDescent="0.25">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row>
    <row r="293" spans="1:25" ht="14.25" customHeight="1" x14ac:dyDescent="0.25">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row>
    <row r="294" spans="1:25" ht="14.25" customHeight="1" x14ac:dyDescent="0.25">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row>
    <row r="295" spans="1:25" ht="14.25" customHeight="1" x14ac:dyDescent="0.2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row>
    <row r="296" spans="1:25" ht="14.25" customHeight="1" x14ac:dyDescent="0.25">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row>
    <row r="297" spans="1:25" ht="14.25" customHeight="1" x14ac:dyDescent="0.25">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row>
    <row r="298" spans="1:25" ht="14.25" customHeight="1" x14ac:dyDescent="0.25">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row>
    <row r="299" spans="1:25" ht="14.25" customHeight="1" x14ac:dyDescent="0.25">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row>
    <row r="300" spans="1:25" ht="14.25" customHeight="1" x14ac:dyDescent="0.25">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row>
    <row r="301" spans="1:25" ht="14.25" customHeight="1" x14ac:dyDescent="0.25">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row>
    <row r="302" spans="1:25" ht="14.25" customHeight="1" x14ac:dyDescent="0.25">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row>
    <row r="303" spans="1:25" ht="14.25" customHeight="1" x14ac:dyDescent="0.25">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row>
    <row r="304" spans="1:25" ht="14.25" customHeight="1" x14ac:dyDescent="0.25">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row>
    <row r="305" spans="1:25" ht="14.25" customHeight="1" x14ac:dyDescent="0.2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row>
    <row r="306" spans="1:25" ht="14.25" customHeight="1" x14ac:dyDescent="0.25">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row>
    <row r="307" spans="1:25" ht="14.25" customHeight="1" x14ac:dyDescent="0.25">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row>
    <row r="308" spans="1:25" ht="14.25" customHeight="1" x14ac:dyDescent="0.25">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row>
    <row r="309" spans="1:25" ht="14.25" customHeight="1" x14ac:dyDescent="0.25">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row>
    <row r="310" spans="1:25" ht="14.25" customHeight="1" x14ac:dyDescent="0.25">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row>
    <row r="311" spans="1:25" ht="14.25" customHeight="1" x14ac:dyDescent="0.25">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row>
    <row r="312" spans="1:25" ht="14.25" customHeight="1" x14ac:dyDescent="0.25">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row>
    <row r="313" spans="1:25" ht="14.25" customHeight="1" x14ac:dyDescent="0.25">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row>
    <row r="314" spans="1:25" ht="14.25" customHeight="1" x14ac:dyDescent="0.25">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row>
    <row r="315" spans="1:25" ht="14.25" customHeight="1" x14ac:dyDescent="0.2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row>
    <row r="316" spans="1:25" ht="14.25" customHeight="1" x14ac:dyDescent="0.25">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row>
    <row r="317" spans="1:25" ht="14.25" customHeight="1" x14ac:dyDescent="0.25">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row>
    <row r="318" spans="1:25" ht="14.25" customHeight="1" x14ac:dyDescent="0.25">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row>
    <row r="319" spans="1:25" ht="14.25" customHeight="1" x14ac:dyDescent="0.25">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row>
    <row r="320" spans="1:25" ht="14.25" customHeight="1" x14ac:dyDescent="0.25">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row>
    <row r="321" spans="1:25" ht="14.25" customHeight="1" x14ac:dyDescent="0.25">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row>
    <row r="322" spans="1:25" ht="14.25" customHeight="1" x14ac:dyDescent="0.25">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row>
    <row r="323" spans="1:25" ht="14.25" customHeight="1" x14ac:dyDescent="0.25">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row>
    <row r="324" spans="1:25" ht="14.25" customHeight="1" x14ac:dyDescent="0.25">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row>
    <row r="325" spans="1:25" ht="14.25" customHeight="1" x14ac:dyDescent="0.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row>
    <row r="326" spans="1:25" ht="14.25" customHeight="1" x14ac:dyDescent="0.25">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row>
    <row r="327" spans="1:25" ht="14.25" customHeight="1" x14ac:dyDescent="0.25">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row>
    <row r="328" spans="1:25" ht="14.25" customHeight="1" x14ac:dyDescent="0.25">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row>
    <row r="329" spans="1:25" ht="14.25" customHeight="1" x14ac:dyDescent="0.25">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row>
    <row r="330" spans="1:25" ht="14.25" customHeight="1" x14ac:dyDescent="0.25">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row>
    <row r="331" spans="1:25" ht="14.25" customHeight="1" x14ac:dyDescent="0.25">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row>
    <row r="332" spans="1:25" ht="14.25" customHeight="1" x14ac:dyDescent="0.25">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row>
    <row r="333" spans="1:25" ht="14.25" customHeight="1" x14ac:dyDescent="0.25">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row>
    <row r="334" spans="1:25" ht="14.25" customHeight="1" x14ac:dyDescent="0.25">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row>
    <row r="335" spans="1:25" ht="14.25" customHeight="1" x14ac:dyDescent="0.2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row>
    <row r="336" spans="1:25" ht="14.25" customHeight="1" x14ac:dyDescent="0.25">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row>
    <row r="337" spans="1:25" ht="14.25" customHeight="1" x14ac:dyDescent="0.25">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row>
    <row r="338" spans="1:25" ht="14.25" customHeight="1" x14ac:dyDescent="0.25">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row>
    <row r="339" spans="1:25" ht="14.25" customHeight="1" x14ac:dyDescent="0.25">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row>
    <row r="340" spans="1:25" ht="14.25" customHeight="1" x14ac:dyDescent="0.25">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row>
    <row r="341" spans="1:25" ht="14.25" customHeight="1" x14ac:dyDescent="0.25">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row>
    <row r="342" spans="1:25" ht="14.25" customHeight="1" x14ac:dyDescent="0.25">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row>
    <row r="343" spans="1:25" ht="14.25" customHeight="1" x14ac:dyDescent="0.25">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row>
    <row r="344" spans="1:25" ht="14.25" customHeight="1" x14ac:dyDescent="0.25">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row>
    <row r="345" spans="1:25" ht="14.25" customHeight="1" x14ac:dyDescent="0.2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row>
    <row r="346" spans="1:25" ht="14.25" customHeight="1" x14ac:dyDescent="0.25">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row>
    <row r="347" spans="1:25" ht="14.25" customHeight="1" x14ac:dyDescent="0.25">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row>
    <row r="348" spans="1:25" ht="14.25" customHeight="1" x14ac:dyDescent="0.25">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row>
    <row r="349" spans="1:25" ht="14.25" customHeight="1" x14ac:dyDescent="0.25">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row>
    <row r="350" spans="1:25" ht="14.25" customHeight="1" x14ac:dyDescent="0.25">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row>
    <row r="351" spans="1:25" ht="14.25" customHeight="1" x14ac:dyDescent="0.25">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row>
    <row r="352" spans="1:25" ht="14.25" customHeight="1" x14ac:dyDescent="0.25">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row>
    <row r="353" spans="1:25" ht="14.25" customHeight="1" x14ac:dyDescent="0.25">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row>
    <row r="354" spans="1:25" ht="14.25" customHeight="1" x14ac:dyDescent="0.25">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row>
    <row r="355" spans="1:25" ht="14.25" customHeight="1" x14ac:dyDescent="0.2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row>
    <row r="356" spans="1:25" ht="14.25" customHeight="1" x14ac:dyDescent="0.25">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row>
    <row r="357" spans="1:25" ht="14.25" customHeight="1" x14ac:dyDescent="0.25">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row>
    <row r="358" spans="1:25" ht="14.25" customHeight="1" x14ac:dyDescent="0.25">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row>
    <row r="359" spans="1:25" ht="14.25" customHeight="1" x14ac:dyDescent="0.25">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row>
    <row r="360" spans="1:25" ht="14.25" customHeight="1" x14ac:dyDescent="0.25">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row>
    <row r="361" spans="1:25" ht="14.25" customHeight="1" x14ac:dyDescent="0.25">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row>
    <row r="362" spans="1:25" ht="14.25" customHeight="1" x14ac:dyDescent="0.25">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row>
    <row r="363" spans="1:25" ht="14.25" customHeight="1" x14ac:dyDescent="0.25">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row>
    <row r="364" spans="1:25" ht="14.25" customHeight="1" x14ac:dyDescent="0.25">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row>
    <row r="365" spans="1:25" ht="14.25" customHeight="1" x14ac:dyDescent="0.2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row>
    <row r="366" spans="1:25" ht="14.25" customHeight="1" x14ac:dyDescent="0.25">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row>
    <row r="367" spans="1:25" ht="14.25" customHeight="1" x14ac:dyDescent="0.25">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row>
    <row r="368" spans="1:25" ht="14.25" customHeight="1" x14ac:dyDescent="0.25">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row>
    <row r="369" spans="1:25" ht="14.25" customHeight="1" x14ac:dyDescent="0.25">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row>
    <row r="370" spans="1:25" ht="14.25" customHeight="1" x14ac:dyDescent="0.25">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row>
    <row r="371" spans="1:25" ht="14.25" customHeight="1" x14ac:dyDescent="0.25">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row>
    <row r="372" spans="1:25" ht="14.25" customHeight="1" x14ac:dyDescent="0.25">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row>
    <row r="373" spans="1:25" ht="14.25" customHeight="1" x14ac:dyDescent="0.25">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row>
    <row r="374" spans="1:25" ht="14.25" customHeight="1" x14ac:dyDescent="0.25">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row>
    <row r="375" spans="1:25" ht="14.25" customHeight="1" x14ac:dyDescent="0.2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row>
    <row r="376" spans="1:25" ht="14.25" customHeight="1" x14ac:dyDescent="0.25">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row>
    <row r="377" spans="1:25" ht="14.25" customHeight="1" x14ac:dyDescent="0.25">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row>
    <row r="378" spans="1:25" ht="14.25" customHeight="1" x14ac:dyDescent="0.25">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row>
    <row r="379" spans="1:25" ht="14.25" customHeight="1" x14ac:dyDescent="0.25">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row>
    <row r="380" spans="1:25" ht="14.25" customHeight="1" x14ac:dyDescent="0.25">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row>
    <row r="381" spans="1:25" ht="14.25" customHeight="1" x14ac:dyDescent="0.25">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row>
    <row r="382" spans="1:25" ht="14.25" customHeight="1" x14ac:dyDescent="0.25">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row>
    <row r="383" spans="1:25" ht="14.25" customHeight="1" x14ac:dyDescent="0.25">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row>
    <row r="384" spans="1:25" ht="14.25" customHeight="1" x14ac:dyDescent="0.25">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row>
    <row r="385" spans="1:25" ht="14.25" customHeight="1" x14ac:dyDescent="0.2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row>
    <row r="386" spans="1:25" ht="14.25" customHeight="1" x14ac:dyDescent="0.25">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row>
    <row r="387" spans="1:25" ht="14.25" customHeight="1" x14ac:dyDescent="0.25">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row>
    <row r="388" spans="1:25" ht="14.25" customHeight="1" x14ac:dyDescent="0.25">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row>
    <row r="389" spans="1:25" ht="14.25" customHeight="1" x14ac:dyDescent="0.25">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row>
    <row r="390" spans="1:25" ht="14.25" customHeight="1" x14ac:dyDescent="0.25">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row>
    <row r="391" spans="1:25" ht="14.25" customHeight="1" x14ac:dyDescent="0.25">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row>
    <row r="392" spans="1:25" ht="14.25" customHeight="1" x14ac:dyDescent="0.25">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row>
    <row r="393" spans="1:25" ht="14.25" customHeight="1" x14ac:dyDescent="0.25">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row>
    <row r="394" spans="1:25" ht="14.25" customHeight="1" x14ac:dyDescent="0.25">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row>
    <row r="395" spans="1:25" ht="14.25" customHeight="1" x14ac:dyDescent="0.2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row>
    <row r="396" spans="1:25" ht="14.25" customHeight="1" x14ac:dyDescent="0.25">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row>
    <row r="397" spans="1:25" ht="14.25" customHeight="1" x14ac:dyDescent="0.25">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row>
    <row r="398" spans="1:25" ht="14.25" customHeight="1" x14ac:dyDescent="0.25">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row>
    <row r="399" spans="1:25" ht="14.25" customHeight="1" x14ac:dyDescent="0.25">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row>
    <row r="400" spans="1:25" ht="14.25" customHeight="1" x14ac:dyDescent="0.25">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row>
    <row r="401" spans="1:25" ht="14.25" customHeight="1" x14ac:dyDescent="0.25">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row>
    <row r="402" spans="1:25" ht="14.25" customHeight="1" x14ac:dyDescent="0.25">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row>
    <row r="403" spans="1:25" ht="14.25" customHeight="1" x14ac:dyDescent="0.25">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row>
    <row r="404" spans="1:25" ht="14.25" customHeight="1" x14ac:dyDescent="0.25">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row>
    <row r="405" spans="1:25" ht="14.25" customHeight="1" x14ac:dyDescent="0.2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row>
    <row r="406" spans="1:25" ht="14.25" customHeight="1" x14ac:dyDescent="0.25">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row>
    <row r="407" spans="1:25" ht="14.25" customHeight="1" x14ac:dyDescent="0.25">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row>
    <row r="408" spans="1:25" ht="14.25" customHeight="1" x14ac:dyDescent="0.25">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row>
    <row r="409" spans="1:25" ht="14.25" customHeight="1" x14ac:dyDescent="0.25">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row>
    <row r="410" spans="1:25" ht="14.25" customHeight="1" x14ac:dyDescent="0.25">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row>
    <row r="411" spans="1:25" ht="14.25" customHeight="1" x14ac:dyDescent="0.25">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row>
    <row r="412" spans="1:25" ht="14.25" customHeight="1" x14ac:dyDescent="0.25">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row>
    <row r="413" spans="1:25" ht="14.25" customHeight="1" x14ac:dyDescent="0.25">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row>
    <row r="414" spans="1:25" ht="14.25" customHeight="1" x14ac:dyDescent="0.25">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row>
    <row r="415" spans="1:25" ht="14.25" customHeight="1" x14ac:dyDescent="0.2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row>
    <row r="416" spans="1:25" ht="14.25" customHeight="1" x14ac:dyDescent="0.25">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row>
    <row r="417" spans="1:25" ht="14.25" customHeight="1" x14ac:dyDescent="0.25">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row>
    <row r="418" spans="1:25" ht="14.25" customHeight="1" x14ac:dyDescent="0.25">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row>
    <row r="419" spans="1:25" ht="14.25" customHeight="1" x14ac:dyDescent="0.25">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row>
    <row r="420" spans="1:25" ht="14.25" customHeight="1" x14ac:dyDescent="0.25">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row>
    <row r="421" spans="1:25" ht="14.25" customHeight="1" x14ac:dyDescent="0.25">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row>
    <row r="422" spans="1:25" ht="14.25" customHeight="1" x14ac:dyDescent="0.25">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row>
    <row r="423" spans="1:25" ht="14.25" customHeight="1" x14ac:dyDescent="0.25">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row>
    <row r="424" spans="1:25" ht="14.25" customHeight="1" x14ac:dyDescent="0.25">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row>
    <row r="425" spans="1:25" ht="14.25" customHeight="1" x14ac:dyDescent="0.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row>
    <row r="426" spans="1:25" ht="14.25" customHeight="1" x14ac:dyDescent="0.25">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row>
    <row r="427" spans="1:25" ht="14.25" customHeight="1" x14ac:dyDescent="0.25">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row>
    <row r="428" spans="1:25" ht="14.25" customHeight="1" x14ac:dyDescent="0.25">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row>
    <row r="429" spans="1:25" ht="14.25" customHeight="1" x14ac:dyDescent="0.25">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row>
    <row r="430" spans="1:25" ht="14.25" customHeight="1" x14ac:dyDescent="0.25">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row>
    <row r="431" spans="1:25" ht="14.25" customHeight="1" x14ac:dyDescent="0.25">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row>
    <row r="432" spans="1:25" ht="14.25" customHeight="1" x14ac:dyDescent="0.25">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row>
    <row r="433" spans="1:25" ht="14.25" customHeight="1" x14ac:dyDescent="0.25">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row>
    <row r="434" spans="1:25" ht="14.25" customHeight="1" x14ac:dyDescent="0.25">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row>
    <row r="435" spans="1:25" ht="14.25" customHeight="1" x14ac:dyDescent="0.2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row>
    <row r="436" spans="1:25" ht="14.25" customHeight="1" x14ac:dyDescent="0.25">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row>
    <row r="437" spans="1:25" ht="14.25" customHeight="1" x14ac:dyDescent="0.25">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row>
    <row r="438" spans="1:25" ht="14.25" customHeight="1" x14ac:dyDescent="0.25">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row>
    <row r="439" spans="1:25" ht="14.25" customHeight="1" x14ac:dyDescent="0.25">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row>
    <row r="440" spans="1:25" ht="14.25" customHeight="1" x14ac:dyDescent="0.25">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row>
    <row r="441" spans="1:25" ht="14.25" customHeight="1" x14ac:dyDescent="0.25">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row>
    <row r="442" spans="1:25" ht="14.25" customHeight="1" x14ac:dyDescent="0.25">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row>
    <row r="443" spans="1:25" ht="14.25" customHeight="1" x14ac:dyDescent="0.25">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row>
    <row r="444" spans="1:25" ht="14.25" customHeight="1" x14ac:dyDescent="0.25">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row>
    <row r="445" spans="1:25" ht="14.25" customHeight="1" x14ac:dyDescent="0.2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row>
    <row r="446" spans="1:25" ht="14.25" customHeight="1" x14ac:dyDescent="0.25">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row>
    <row r="447" spans="1:25" ht="14.25" customHeight="1" x14ac:dyDescent="0.25">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row>
    <row r="448" spans="1:25" ht="14.25" customHeight="1" x14ac:dyDescent="0.25">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row>
    <row r="449" spans="1:25" ht="14.25" customHeight="1" x14ac:dyDescent="0.25">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row>
    <row r="450" spans="1:25" ht="14.25" customHeight="1" x14ac:dyDescent="0.25">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row>
    <row r="451" spans="1:25" ht="14.25" customHeight="1" x14ac:dyDescent="0.25">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row>
    <row r="452" spans="1:25" ht="14.25" customHeight="1" x14ac:dyDescent="0.25">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row>
    <row r="453" spans="1:25" ht="14.25" customHeight="1" x14ac:dyDescent="0.25">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row>
    <row r="454" spans="1:25" ht="14.25" customHeight="1" x14ac:dyDescent="0.25">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row>
    <row r="455" spans="1:25" ht="14.25" customHeight="1" x14ac:dyDescent="0.2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row>
    <row r="456" spans="1:25" ht="14.25" customHeight="1" x14ac:dyDescent="0.25">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row>
    <row r="457" spans="1:25" ht="14.25" customHeight="1" x14ac:dyDescent="0.25">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row>
    <row r="458" spans="1:25" ht="14.25" customHeight="1" x14ac:dyDescent="0.25">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row>
    <row r="459" spans="1:25" ht="14.25" customHeight="1" x14ac:dyDescent="0.25">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row>
    <row r="460" spans="1:25" ht="14.25" customHeight="1" x14ac:dyDescent="0.25">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row>
    <row r="461" spans="1:25" ht="14.25" customHeight="1" x14ac:dyDescent="0.25">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row>
    <row r="462" spans="1:25" ht="14.25" customHeight="1" x14ac:dyDescent="0.25">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row>
    <row r="463" spans="1:25" ht="14.25" customHeight="1" x14ac:dyDescent="0.25">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row>
    <row r="464" spans="1:25" ht="14.25" customHeight="1" x14ac:dyDescent="0.25">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row>
    <row r="465" spans="1:25" ht="14.25" customHeight="1" x14ac:dyDescent="0.2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row>
    <row r="466" spans="1:25" ht="14.25" customHeight="1" x14ac:dyDescent="0.25">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row>
    <row r="467" spans="1:25" ht="14.25" customHeight="1" x14ac:dyDescent="0.25">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row>
    <row r="468" spans="1:25" ht="14.25" customHeight="1" x14ac:dyDescent="0.25">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row>
    <row r="469" spans="1:25" ht="14.25" customHeight="1" x14ac:dyDescent="0.25">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row>
    <row r="470" spans="1:25" ht="14.25" customHeight="1" x14ac:dyDescent="0.25">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row>
    <row r="471" spans="1:25" ht="14.25" customHeight="1" x14ac:dyDescent="0.25">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row>
    <row r="472" spans="1:25" ht="14.25" customHeight="1" x14ac:dyDescent="0.25">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row>
    <row r="473" spans="1:25" ht="14.25" customHeight="1" x14ac:dyDescent="0.25">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row>
    <row r="474" spans="1:25" ht="14.25" customHeight="1" x14ac:dyDescent="0.25">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row>
    <row r="475" spans="1:25" ht="14.25" customHeight="1" x14ac:dyDescent="0.2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row>
    <row r="476" spans="1:25" ht="14.25" customHeight="1" x14ac:dyDescent="0.25">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row>
    <row r="477" spans="1:25" ht="14.25" customHeight="1" x14ac:dyDescent="0.25">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row>
    <row r="478" spans="1:25" ht="14.25" customHeight="1" x14ac:dyDescent="0.25">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row>
    <row r="479" spans="1:25" ht="14.25" customHeight="1" x14ac:dyDescent="0.25">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row>
    <row r="480" spans="1:25" ht="14.25" customHeight="1" x14ac:dyDescent="0.25">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row>
    <row r="481" spans="1:25" ht="14.25" customHeight="1" x14ac:dyDescent="0.25">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row>
    <row r="482" spans="1:25" ht="14.25" customHeight="1" x14ac:dyDescent="0.25">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row>
    <row r="483" spans="1:25" ht="14.25" customHeight="1" x14ac:dyDescent="0.25">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row>
    <row r="484" spans="1:25" ht="14.25" customHeight="1" x14ac:dyDescent="0.25">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row>
    <row r="485" spans="1:25" ht="14.25" customHeight="1" x14ac:dyDescent="0.2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row>
    <row r="486" spans="1:25" ht="14.25" customHeight="1" x14ac:dyDescent="0.25">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row>
    <row r="487" spans="1:25" ht="14.25" customHeight="1" x14ac:dyDescent="0.25">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row>
    <row r="488" spans="1:25" ht="14.25" customHeight="1" x14ac:dyDescent="0.25">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row>
    <row r="489" spans="1:25" ht="14.25" customHeight="1" x14ac:dyDescent="0.25">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row>
    <row r="490" spans="1:25" ht="14.25" customHeight="1" x14ac:dyDescent="0.25">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row>
    <row r="491" spans="1:25" ht="14.25" customHeight="1" x14ac:dyDescent="0.25">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row>
    <row r="492" spans="1:25" ht="14.25" customHeight="1" x14ac:dyDescent="0.25">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row>
    <row r="493" spans="1:25" ht="14.25" customHeight="1" x14ac:dyDescent="0.25">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row>
    <row r="494" spans="1:25" ht="14.25" customHeight="1" x14ac:dyDescent="0.25">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row>
    <row r="495" spans="1:25" ht="14.25" customHeight="1" x14ac:dyDescent="0.2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row>
    <row r="496" spans="1:25" ht="14.25" customHeight="1" x14ac:dyDescent="0.25">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row>
    <row r="497" spans="1:25" ht="14.25" customHeight="1" x14ac:dyDescent="0.25">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row>
    <row r="498" spans="1:25" ht="14.25" customHeight="1" x14ac:dyDescent="0.25">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row>
    <row r="499" spans="1:25" ht="14.25" customHeight="1" x14ac:dyDescent="0.25">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row>
    <row r="500" spans="1:25" ht="14.25" customHeight="1" x14ac:dyDescent="0.25">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row>
    <row r="501" spans="1:25" ht="14.25" customHeight="1" x14ac:dyDescent="0.25">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row>
    <row r="502" spans="1:25" ht="14.25" customHeight="1" x14ac:dyDescent="0.25">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row>
    <row r="503" spans="1:25" ht="14.25" customHeight="1" x14ac:dyDescent="0.25">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row>
    <row r="504" spans="1:25" ht="14.25" customHeight="1" x14ac:dyDescent="0.25">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row>
    <row r="505" spans="1:25" ht="14.25" customHeight="1" x14ac:dyDescent="0.2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row>
    <row r="506" spans="1:25" ht="14.25" customHeight="1" x14ac:dyDescent="0.25">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row>
    <row r="507" spans="1:25" ht="14.25" customHeight="1" x14ac:dyDescent="0.25">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row>
    <row r="508" spans="1:25" ht="14.25" customHeight="1" x14ac:dyDescent="0.25">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row>
    <row r="509" spans="1:25" ht="14.25" customHeight="1" x14ac:dyDescent="0.25">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row>
    <row r="510" spans="1:25" ht="14.25" customHeight="1" x14ac:dyDescent="0.25">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row>
    <row r="511" spans="1:25" ht="14.25" customHeight="1" x14ac:dyDescent="0.25">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row>
    <row r="512" spans="1:25" ht="14.25" customHeight="1" x14ac:dyDescent="0.25">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row>
    <row r="513" spans="1:25" ht="14.25" customHeight="1" x14ac:dyDescent="0.25">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row>
    <row r="514" spans="1:25" ht="14.25" customHeight="1" x14ac:dyDescent="0.25">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row>
    <row r="515" spans="1:25" ht="14.25" customHeight="1" x14ac:dyDescent="0.2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row>
    <row r="516" spans="1:25" ht="14.25" customHeight="1" x14ac:dyDescent="0.25">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row>
    <row r="517" spans="1:25" ht="14.25" customHeight="1" x14ac:dyDescent="0.25">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row>
    <row r="518" spans="1:25" ht="14.25" customHeight="1" x14ac:dyDescent="0.25">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row>
    <row r="519" spans="1:25" ht="14.25" customHeight="1" x14ac:dyDescent="0.25">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row>
    <row r="520" spans="1:25" ht="14.25" customHeight="1" x14ac:dyDescent="0.25">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row>
    <row r="521" spans="1:25" ht="14.25" customHeight="1" x14ac:dyDescent="0.25">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row>
    <row r="522" spans="1:25" ht="14.25" customHeight="1" x14ac:dyDescent="0.25">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row>
    <row r="523" spans="1:25" ht="14.25" customHeight="1" x14ac:dyDescent="0.25">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row>
    <row r="524" spans="1:25" ht="14.25" customHeight="1" x14ac:dyDescent="0.25">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row>
    <row r="525" spans="1:25" ht="14.25" customHeight="1" x14ac:dyDescent="0.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row>
    <row r="526" spans="1:25" ht="14.25" customHeight="1" x14ac:dyDescent="0.25">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row>
    <row r="527" spans="1:25" ht="14.25" customHeight="1" x14ac:dyDescent="0.25">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row>
    <row r="528" spans="1:25" ht="14.25" customHeight="1" x14ac:dyDescent="0.25">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row>
    <row r="529" spans="1:25" ht="14.25" customHeight="1" x14ac:dyDescent="0.25">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row>
    <row r="530" spans="1:25" ht="14.25" customHeight="1" x14ac:dyDescent="0.25">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row>
    <row r="531" spans="1:25" ht="14.25" customHeight="1" x14ac:dyDescent="0.25">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row>
    <row r="532" spans="1:25" ht="14.25" customHeight="1" x14ac:dyDescent="0.25">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row>
    <row r="533" spans="1:25" ht="14.25" customHeight="1" x14ac:dyDescent="0.25">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row>
    <row r="534" spans="1:25" ht="14.25" customHeight="1" x14ac:dyDescent="0.25">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row>
    <row r="535" spans="1:25" ht="14.25" customHeight="1" x14ac:dyDescent="0.2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row>
    <row r="536" spans="1:25" ht="14.25" customHeight="1" x14ac:dyDescent="0.25">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row>
    <row r="537" spans="1:25" ht="14.25" customHeight="1" x14ac:dyDescent="0.25">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row>
    <row r="538" spans="1:25" ht="14.25" customHeight="1" x14ac:dyDescent="0.25">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row>
    <row r="539" spans="1:25" ht="14.25" customHeight="1" x14ac:dyDescent="0.25">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row>
    <row r="540" spans="1:25" ht="14.25" customHeight="1" x14ac:dyDescent="0.25">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row>
    <row r="541" spans="1:25" ht="14.25" customHeight="1" x14ac:dyDescent="0.25">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row>
    <row r="542" spans="1:25" ht="14.25" customHeight="1" x14ac:dyDescent="0.25">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row>
    <row r="543" spans="1:25" ht="14.25" customHeight="1" x14ac:dyDescent="0.25">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row>
    <row r="544" spans="1:25" ht="14.25" customHeight="1" x14ac:dyDescent="0.25">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row>
    <row r="545" spans="1:25" ht="14.25" customHeight="1" x14ac:dyDescent="0.2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row>
    <row r="546" spans="1:25" ht="14.25" customHeight="1" x14ac:dyDescent="0.25">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row>
    <row r="547" spans="1:25" ht="14.25" customHeight="1" x14ac:dyDescent="0.25">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row>
    <row r="548" spans="1:25" ht="14.25" customHeight="1" x14ac:dyDescent="0.25">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row>
    <row r="549" spans="1:25" ht="14.25" customHeight="1" x14ac:dyDescent="0.25">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row>
    <row r="550" spans="1:25" ht="14.25" customHeight="1" x14ac:dyDescent="0.25">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row>
    <row r="551" spans="1:25" ht="14.25" customHeight="1" x14ac:dyDescent="0.25">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row>
    <row r="552" spans="1:25" ht="14.25" customHeight="1" x14ac:dyDescent="0.25">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row>
    <row r="553" spans="1:25" ht="14.25" customHeight="1" x14ac:dyDescent="0.25">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row>
    <row r="554" spans="1:25" ht="14.25" customHeight="1" x14ac:dyDescent="0.25">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row>
    <row r="555" spans="1:25" ht="14.25" customHeight="1" x14ac:dyDescent="0.2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row>
    <row r="556" spans="1:25" ht="14.25" customHeight="1" x14ac:dyDescent="0.25">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row>
    <row r="557" spans="1:25" ht="14.25" customHeight="1" x14ac:dyDescent="0.25">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row>
    <row r="558" spans="1:25" ht="14.25" customHeight="1" x14ac:dyDescent="0.25">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row>
    <row r="559" spans="1:25" ht="14.25" customHeight="1" x14ac:dyDescent="0.25">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row>
    <row r="560" spans="1:25" ht="14.25" customHeight="1" x14ac:dyDescent="0.25">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row>
    <row r="561" spans="1:25" ht="14.25" customHeight="1" x14ac:dyDescent="0.25">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row>
    <row r="562" spans="1:25" ht="14.25" customHeight="1" x14ac:dyDescent="0.25">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row>
    <row r="563" spans="1:25" ht="14.25" customHeight="1" x14ac:dyDescent="0.25">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row>
    <row r="564" spans="1:25" ht="14.25" customHeight="1" x14ac:dyDescent="0.25">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row>
    <row r="565" spans="1:25" ht="14.25" customHeight="1" x14ac:dyDescent="0.2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row>
    <row r="566" spans="1:25" ht="14.25" customHeight="1" x14ac:dyDescent="0.25">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row>
    <row r="567" spans="1:25" ht="14.25" customHeight="1" x14ac:dyDescent="0.25">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row>
    <row r="568" spans="1:25" ht="14.25" customHeight="1" x14ac:dyDescent="0.25">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row>
    <row r="569" spans="1:25" ht="14.25" customHeight="1" x14ac:dyDescent="0.25">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row>
    <row r="570" spans="1:25" ht="14.25" customHeight="1" x14ac:dyDescent="0.25">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row>
    <row r="571" spans="1:25" ht="14.25" customHeight="1" x14ac:dyDescent="0.25">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row>
    <row r="572" spans="1:25" ht="14.25" customHeight="1" x14ac:dyDescent="0.25">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row>
    <row r="573" spans="1:25" ht="14.25" customHeight="1" x14ac:dyDescent="0.25">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row>
    <row r="574" spans="1:25" ht="14.25" customHeight="1" x14ac:dyDescent="0.25">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row>
    <row r="575" spans="1:25" ht="14.25" customHeight="1" x14ac:dyDescent="0.2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row>
    <row r="576" spans="1:25" ht="14.25" customHeight="1" x14ac:dyDescent="0.25">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row>
    <row r="577" spans="1:25" ht="14.25" customHeight="1" x14ac:dyDescent="0.25">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row>
    <row r="578" spans="1:25" ht="14.25" customHeight="1" x14ac:dyDescent="0.25">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row>
    <row r="579" spans="1:25" ht="14.25" customHeight="1" x14ac:dyDescent="0.25">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row>
    <row r="580" spans="1:25" ht="14.25" customHeight="1" x14ac:dyDescent="0.25">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row>
    <row r="581" spans="1:25" ht="14.25" customHeight="1" x14ac:dyDescent="0.25">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row>
    <row r="582" spans="1:25" ht="14.25" customHeight="1" x14ac:dyDescent="0.25">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row>
    <row r="583" spans="1:25" ht="14.25" customHeight="1" x14ac:dyDescent="0.25">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row>
    <row r="584" spans="1:25" ht="14.25" customHeight="1" x14ac:dyDescent="0.25">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row>
    <row r="585" spans="1:25" ht="14.25" customHeight="1" x14ac:dyDescent="0.2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row>
    <row r="586" spans="1:25" ht="14.25" customHeight="1" x14ac:dyDescent="0.25">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row>
    <row r="587" spans="1:25" ht="14.25" customHeight="1" x14ac:dyDescent="0.25">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row>
    <row r="588" spans="1:25" ht="14.25" customHeight="1" x14ac:dyDescent="0.25">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row>
    <row r="589" spans="1:25" ht="14.25" customHeight="1" x14ac:dyDescent="0.25">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row>
    <row r="590" spans="1:25" ht="14.25" customHeight="1" x14ac:dyDescent="0.25">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row>
    <row r="591" spans="1:25" ht="14.25" customHeight="1" x14ac:dyDescent="0.25">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row>
    <row r="592" spans="1:25" ht="14.25" customHeight="1" x14ac:dyDescent="0.25">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row>
    <row r="593" spans="1:25" ht="14.25" customHeight="1" x14ac:dyDescent="0.25">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row>
    <row r="594" spans="1:25" ht="14.25" customHeight="1" x14ac:dyDescent="0.25">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row>
    <row r="595" spans="1:25" ht="14.25" customHeight="1" x14ac:dyDescent="0.2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row>
    <row r="596" spans="1:25" ht="14.25" customHeight="1" x14ac:dyDescent="0.25">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row>
    <row r="597" spans="1:25" ht="14.25" customHeight="1" x14ac:dyDescent="0.25">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row>
    <row r="598" spans="1:25" ht="14.25" customHeight="1" x14ac:dyDescent="0.25">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row>
    <row r="599" spans="1:25" ht="14.25" customHeight="1" x14ac:dyDescent="0.25">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row>
    <row r="600" spans="1:25" ht="14.25" customHeight="1" x14ac:dyDescent="0.25">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row>
    <row r="601" spans="1:25" ht="14.25" customHeight="1" x14ac:dyDescent="0.25">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row>
    <row r="602" spans="1:25" ht="14.25" customHeight="1" x14ac:dyDescent="0.25">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row>
    <row r="603" spans="1:25" ht="14.25" customHeight="1" x14ac:dyDescent="0.25">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row>
    <row r="604" spans="1:25" ht="14.25" customHeight="1" x14ac:dyDescent="0.25">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row>
    <row r="605" spans="1:25" ht="14.25" customHeight="1" x14ac:dyDescent="0.2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row>
    <row r="606" spans="1:25" ht="14.25" customHeight="1" x14ac:dyDescent="0.25">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row>
    <row r="607" spans="1:25" ht="14.25" customHeight="1" x14ac:dyDescent="0.25">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row>
    <row r="608" spans="1:25" ht="14.25" customHeight="1" x14ac:dyDescent="0.25">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row>
    <row r="609" spans="1:25" ht="14.25" customHeight="1" x14ac:dyDescent="0.25">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row>
    <row r="610" spans="1:25" ht="14.25" customHeight="1" x14ac:dyDescent="0.25">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row>
    <row r="611" spans="1:25" ht="14.25" customHeight="1" x14ac:dyDescent="0.25">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row>
    <row r="612" spans="1:25" ht="14.25" customHeight="1" x14ac:dyDescent="0.25">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row>
    <row r="613" spans="1:25" ht="14.25" customHeight="1" x14ac:dyDescent="0.25">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row>
    <row r="614" spans="1:25" ht="14.25" customHeight="1" x14ac:dyDescent="0.25">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row>
    <row r="615" spans="1:25" ht="14.25" customHeight="1" x14ac:dyDescent="0.2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row>
    <row r="616" spans="1:25" ht="14.25" customHeight="1" x14ac:dyDescent="0.25">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row>
    <row r="617" spans="1:25" ht="14.25" customHeight="1" x14ac:dyDescent="0.25">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row>
    <row r="618" spans="1:25" ht="14.25" customHeight="1" x14ac:dyDescent="0.25">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row>
    <row r="619" spans="1:25" ht="14.25" customHeight="1" x14ac:dyDescent="0.25">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row>
    <row r="620" spans="1:25" ht="14.25" customHeight="1" x14ac:dyDescent="0.25">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row>
    <row r="621" spans="1:25" ht="14.25" customHeight="1" x14ac:dyDescent="0.25">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row>
    <row r="622" spans="1:25" ht="14.25" customHeight="1" x14ac:dyDescent="0.25">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row>
    <row r="623" spans="1:25" ht="14.25" customHeight="1" x14ac:dyDescent="0.25">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row>
    <row r="624" spans="1:25" ht="14.25" customHeight="1" x14ac:dyDescent="0.25">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row>
    <row r="625" spans="1:25" ht="14.25" customHeight="1" x14ac:dyDescent="0.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row>
    <row r="626" spans="1:25" ht="14.25" customHeight="1" x14ac:dyDescent="0.25">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row>
    <row r="627" spans="1:25" ht="14.25" customHeight="1" x14ac:dyDescent="0.25">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row>
    <row r="628" spans="1:25" ht="14.25" customHeight="1" x14ac:dyDescent="0.25">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row>
    <row r="629" spans="1:25" ht="14.25" customHeight="1" x14ac:dyDescent="0.25">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row>
    <row r="630" spans="1:25" ht="14.25" customHeight="1" x14ac:dyDescent="0.25">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row>
    <row r="631" spans="1:25" ht="14.25" customHeight="1" x14ac:dyDescent="0.25">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row>
    <row r="632" spans="1:25" ht="14.25" customHeight="1" x14ac:dyDescent="0.25">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row>
    <row r="633" spans="1:25" ht="14.25" customHeight="1" x14ac:dyDescent="0.25">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row>
    <row r="634" spans="1:25" ht="14.25" customHeight="1" x14ac:dyDescent="0.25">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row>
    <row r="635" spans="1:25" ht="14.25" customHeight="1" x14ac:dyDescent="0.2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row>
    <row r="636" spans="1:25" ht="14.25" customHeight="1" x14ac:dyDescent="0.25">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row>
    <row r="637" spans="1:25" ht="14.25" customHeight="1" x14ac:dyDescent="0.25">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row>
    <row r="638" spans="1:25" ht="14.25" customHeight="1" x14ac:dyDescent="0.25">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row>
    <row r="639" spans="1:25" ht="14.25" customHeight="1" x14ac:dyDescent="0.25">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row>
    <row r="640" spans="1:25" ht="14.25" customHeight="1" x14ac:dyDescent="0.25">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row>
    <row r="641" spans="1:25" ht="14.25" customHeight="1" x14ac:dyDescent="0.25">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row>
    <row r="642" spans="1:25" ht="14.25" customHeight="1" x14ac:dyDescent="0.25">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row>
    <row r="643" spans="1:25" ht="14.25" customHeight="1" x14ac:dyDescent="0.25">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row>
    <row r="644" spans="1:25" ht="14.25" customHeight="1" x14ac:dyDescent="0.25">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row>
    <row r="645" spans="1:25" ht="14.25" customHeight="1" x14ac:dyDescent="0.2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row>
    <row r="646" spans="1:25" ht="14.25" customHeight="1" x14ac:dyDescent="0.25">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row>
    <row r="647" spans="1:25" ht="14.25" customHeight="1" x14ac:dyDescent="0.25">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row>
    <row r="648" spans="1:25" ht="14.25" customHeight="1" x14ac:dyDescent="0.25">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row>
    <row r="649" spans="1:25" ht="14.25" customHeight="1" x14ac:dyDescent="0.25">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row>
    <row r="650" spans="1:25" ht="14.25" customHeight="1" x14ac:dyDescent="0.25">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row>
    <row r="651" spans="1:25" ht="14.25" customHeight="1" x14ac:dyDescent="0.25">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row>
    <row r="652" spans="1:25" ht="14.25" customHeight="1" x14ac:dyDescent="0.25">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row>
    <row r="653" spans="1:25" ht="14.25" customHeight="1" x14ac:dyDescent="0.25">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row>
    <row r="654" spans="1:25" ht="14.25" customHeight="1" x14ac:dyDescent="0.25">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row>
    <row r="655" spans="1:25" ht="14.25" customHeight="1" x14ac:dyDescent="0.2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row>
    <row r="656" spans="1:25" ht="14.25" customHeight="1" x14ac:dyDescent="0.25">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row>
    <row r="657" spans="1:25" ht="14.25" customHeight="1" x14ac:dyDescent="0.25">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row>
    <row r="658" spans="1:25" ht="14.25" customHeight="1" x14ac:dyDescent="0.25">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row>
    <row r="659" spans="1:25" ht="14.25" customHeight="1" x14ac:dyDescent="0.25">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row>
    <row r="660" spans="1:25" ht="14.25" customHeight="1" x14ac:dyDescent="0.25">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row>
    <row r="661" spans="1:25" ht="14.25" customHeight="1" x14ac:dyDescent="0.25">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row>
    <row r="662" spans="1:25" ht="14.25" customHeight="1" x14ac:dyDescent="0.25">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row>
    <row r="663" spans="1:25" ht="14.25" customHeight="1" x14ac:dyDescent="0.25">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row>
    <row r="664" spans="1:25" ht="14.25" customHeight="1" x14ac:dyDescent="0.25">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row>
    <row r="665" spans="1:25" ht="14.25" customHeight="1" x14ac:dyDescent="0.2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row>
    <row r="666" spans="1:25" ht="14.25" customHeight="1" x14ac:dyDescent="0.25">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row>
    <row r="667" spans="1:25" ht="14.25" customHeight="1" x14ac:dyDescent="0.25">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row>
    <row r="668" spans="1:25" ht="14.25" customHeight="1" x14ac:dyDescent="0.25">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row>
    <row r="669" spans="1:25" ht="14.25" customHeight="1" x14ac:dyDescent="0.25">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row>
    <row r="670" spans="1:25" ht="14.25" customHeight="1" x14ac:dyDescent="0.25">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row>
    <row r="671" spans="1:25" ht="14.25" customHeight="1" x14ac:dyDescent="0.25">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row>
    <row r="672" spans="1:25" ht="14.25" customHeight="1" x14ac:dyDescent="0.25">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row>
    <row r="673" spans="1:25" ht="14.25" customHeight="1" x14ac:dyDescent="0.25">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row>
    <row r="674" spans="1:25" ht="14.25" customHeight="1" x14ac:dyDescent="0.25">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row>
    <row r="675" spans="1:25" ht="14.25" customHeight="1" x14ac:dyDescent="0.2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row>
    <row r="676" spans="1:25" ht="14.25" customHeight="1" x14ac:dyDescent="0.25">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row>
    <row r="677" spans="1:25" ht="14.25" customHeight="1" x14ac:dyDescent="0.25">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row>
    <row r="678" spans="1:25" ht="14.25" customHeight="1" x14ac:dyDescent="0.25">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row>
    <row r="679" spans="1:25" ht="14.25" customHeight="1" x14ac:dyDescent="0.25">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row>
    <row r="680" spans="1:25" ht="14.25" customHeight="1" x14ac:dyDescent="0.25">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row>
    <row r="681" spans="1:25" ht="14.25" customHeight="1" x14ac:dyDescent="0.25">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row>
    <row r="682" spans="1:25" ht="14.25" customHeight="1" x14ac:dyDescent="0.25">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row>
    <row r="683" spans="1:25" ht="14.25" customHeight="1" x14ac:dyDescent="0.25">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row>
    <row r="684" spans="1:25" ht="14.25" customHeight="1" x14ac:dyDescent="0.25">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row>
    <row r="685" spans="1:25" ht="14.25" customHeight="1" x14ac:dyDescent="0.2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row>
    <row r="686" spans="1:25" ht="14.25" customHeight="1" x14ac:dyDescent="0.25">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row>
    <row r="687" spans="1:25" ht="14.25" customHeight="1" x14ac:dyDescent="0.25">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row>
    <row r="688" spans="1:25" ht="14.25" customHeight="1" x14ac:dyDescent="0.25">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row>
    <row r="689" spans="1:25" ht="14.25" customHeight="1" x14ac:dyDescent="0.25">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row>
    <row r="690" spans="1:25" ht="14.25" customHeight="1" x14ac:dyDescent="0.25">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row>
    <row r="691" spans="1:25" ht="14.25" customHeight="1" x14ac:dyDescent="0.25">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row>
    <row r="692" spans="1:25" ht="14.25" customHeight="1" x14ac:dyDescent="0.25">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row>
    <row r="693" spans="1:25" ht="14.25" customHeight="1" x14ac:dyDescent="0.25">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row>
    <row r="694" spans="1:25" ht="14.25" customHeight="1" x14ac:dyDescent="0.25">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row>
    <row r="695" spans="1:25" ht="14.25" customHeight="1" x14ac:dyDescent="0.2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row>
    <row r="696" spans="1:25" ht="14.25" customHeight="1" x14ac:dyDescent="0.25">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row>
    <row r="697" spans="1:25" ht="14.25" customHeight="1" x14ac:dyDescent="0.25">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row>
    <row r="698" spans="1:25" ht="14.25" customHeight="1" x14ac:dyDescent="0.25">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row>
    <row r="699" spans="1:25" ht="14.25" customHeight="1" x14ac:dyDescent="0.25">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row>
    <row r="700" spans="1:25" ht="14.25" customHeight="1" x14ac:dyDescent="0.25">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row>
    <row r="701" spans="1:25" ht="14.25" customHeight="1" x14ac:dyDescent="0.25">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row>
    <row r="702" spans="1:25" ht="14.25" customHeight="1" x14ac:dyDescent="0.25">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row>
    <row r="703" spans="1:25" ht="14.25" customHeight="1" x14ac:dyDescent="0.25">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row>
    <row r="704" spans="1:25" ht="14.25" customHeight="1" x14ac:dyDescent="0.25">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row>
    <row r="705" spans="1:25" ht="14.25" customHeight="1" x14ac:dyDescent="0.2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row>
    <row r="706" spans="1:25" ht="14.25" customHeight="1" x14ac:dyDescent="0.25">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row>
    <row r="707" spans="1:25" ht="14.25" customHeight="1" x14ac:dyDescent="0.25">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row>
    <row r="708" spans="1:25" ht="14.25" customHeight="1" x14ac:dyDescent="0.25">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row>
    <row r="709" spans="1:25" ht="14.25" customHeight="1" x14ac:dyDescent="0.25">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row>
    <row r="710" spans="1:25" ht="14.25" customHeight="1" x14ac:dyDescent="0.25">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row>
    <row r="711" spans="1:25" ht="14.25" customHeight="1" x14ac:dyDescent="0.25">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row>
    <row r="712" spans="1:25" ht="14.25" customHeight="1" x14ac:dyDescent="0.25">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row>
    <row r="713" spans="1:25" ht="14.25" customHeight="1" x14ac:dyDescent="0.25">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row>
    <row r="714" spans="1:25" ht="14.25" customHeight="1" x14ac:dyDescent="0.25">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row>
    <row r="715" spans="1:25" ht="14.25" customHeight="1" x14ac:dyDescent="0.2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row>
    <row r="716" spans="1:25" ht="14.25" customHeight="1" x14ac:dyDescent="0.25">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row>
    <row r="717" spans="1:25" ht="14.25" customHeight="1" x14ac:dyDescent="0.25">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row>
    <row r="718" spans="1:25" ht="14.25" customHeight="1" x14ac:dyDescent="0.25">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row>
    <row r="719" spans="1:25" ht="14.25" customHeight="1" x14ac:dyDescent="0.25">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row>
    <row r="720" spans="1:25" ht="14.25" customHeight="1" x14ac:dyDescent="0.25">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row>
    <row r="721" spans="1:25" ht="14.25" customHeight="1" x14ac:dyDescent="0.25">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row>
    <row r="722" spans="1:25" ht="14.25" customHeight="1" x14ac:dyDescent="0.25">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row>
    <row r="723" spans="1:25" ht="14.25" customHeight="1" x14ac:dyDescent="0.25">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row>
    <row r="724" spans="1:25" ht="14.25" customHeight="1" x14ac:dyDescent="0.25">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row>
    <row r="725" spans="1:25" ht="14.25" customHeight="1" x14ac:dyDescent="0.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row>
    <row r="726" spans="1:25" ht="14.25" customHeight="1" x14ac:dyDescent="0.25">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row>
    <row r="727" spans="1:25" ht="14.25" customHeight="1" x14ac:dyDescent="0.25">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row>
    <row r="728" spans="1:25" ht="14.25" customHeight="1" x14ac:dyDescent="0.25">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row>
    <row r="729" spans="1:25" ht="14.25" customHeight="1" x14ac:dyDescent="0.25">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row>
    <row r="730" spans="1:25" ht="14.25" customHeight="1" x14ac:dyDescent="0.25">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row>
    <row r="731" spans="1:25" ht="14.25" customHeight="1" x14ac:dyDescent="0.25">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row>
    <row r="732" spans="1:25" ht="14.25" customHeight="1" x14ac:dyDescent="0.25">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row>
    <row r="733" spans="1:25" ht="14.25" customHeight="1" x14ac:dyDescent="0.25">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row>
    <row r="734" spans="1:25" ht="14.25" customHeight="1" x14ac:dyDescent="0.25">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row>
    <row r="735" spans="1:25" ht="14.25" customHeight="1" x14ac:dyDescent="0.2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row>
    <row r="736" spans="1:25" ht="14.25" customHeight="1" x14ac:dyDescent="0.25">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row>
    <row r="737" spans="1:25" ht="14.25" customHeight="1" x14ac:dyDescent="0.25">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row>
    <row r="738" spans="1:25" ht="14.25" customHeight="1" x14ac:dyDescent="0.25">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row>
    <row r="739" spans="1:25" ht="14.25" customHeight="1" x14ac:dyDescent="0.25">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row>
    <row r="740" spans="1:25" ht="14.25" customHeight="1" x14ac:dyDescent="0.25">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row>
    <row r="741" spans="1:25" ht="14.25" customHeight="1" x14ac:dyDescent="0.25">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row>
    <row r="742" spans="1:25" ht="14.25" customHeight="1" x14ac:dyDescent="0.25">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row>
    <row r="743" spans="1:25" ht="14.25" customHeight="1" x14ac:dyDescent="0.25">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row>
    <row r="744" spans="1:25" ht="14.25" customHeight="1" x14ac:dyDescent="0.25">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row>
    <row r="745" spans="1:25" ht="14.25" customHeight="1" x14ac:dyDescent="0.2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row>
    <row r="746" spans="1:25" ht="14.25" customHeight="1" x14ac:dyDescent="0.25">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row>
    <row r="747" spans="1:25" ht="14.25" customHeight="1" x14ac:dyDescent="0.25">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row>
    <row r="748" spans="1:25" ht="14.25" customHeight="1" x14ac:dyDescent="0.25">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row>
    <row r="749" spans="1:25" ht="14.25" customHeight="1" x14ac:dyDescent="0.25">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row>
    <row r="750" spans="1:25" ht="14.25" customHeight="1" x14ac:dyDescent="0.25">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row>
    <row r="751" spans="1:25" ht="14.25" customHeight="1" x14ac:dyDescent="0.25">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row>
    <row r="752" spans="1:25" ht="14.25" customHeight="1" x14ac:dyDescent="0.25">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row>
    <row r="753" spans="1:25" ht="14.25" customHeight="1" x14ac:dyDescent="0.25">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row>
    <row r="754" spans="1:25" ht="14.25" customHeight="1" x14ac:dyDescent="0.25">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row>
    <row r="755" spans="1:25" ht="14.25" customHeight="1" x14ac:dyDescent="0.2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row>
    <row r="756" spans="1:25" ht="14.25" customHeight="1" x14ac:dyDescent="0.25">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row>
    <row r="757" spans="1:25" ht="14.25" customHeight="1" x14ac:dyDescent="0.25">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row>
    <row r="758" spans="1:25" ht="14.25" customHeight="1" x14ac:dyDescent="0.25">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row>
    <row r="759" spans="1:25" ht="14.25" customHeight="1" x14ac:dyDescent="0.25">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row>
    <row r="760" spans="1:25" ht="14.25" customHeight="1" x14ac:dyDescent="0.25">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row>
    <row r="761" spans="1:25" ht="14.25" customHeight="1" x14ac:dyDescent="0.25">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row>
    <row r="762" spans="1:25" ht="14.25" customHeight="1" x14ac:dyDescent="0.25">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row>
    <row r="763" spans="1:25" ht="14.25" customHeight="1" x14ac:dyDescent="0.25">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row>
    <row r="764" spans="1:25" ht="14.25" customHeight="1" x14ac:dyDescent="0.25">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row>
    <row r="765" spans="1:25" ht="14.25" customHeight="1" x14ac:dyDescent="0.2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row>
    <row r="766" spans="1:25" ht="14.25" customHeight="1" x14ac:dyDescent="0.25">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row>
    <row r="767" spans="1:25" ht="14.25" customHeight="1" x14ac:dyDescent="0.25">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row>
    <row r="768" spans="1:25" ht="14.25" customHeight="1" x14ac:dyDescent="0.25">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row>
    <row r="769" spans="1:25" ht="14.25" customHeight="1" x14ac:dyDescent="0.25">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row>
    <row r="770" spans="1:25" ht="14.25" customHeight="1" x14ac:dyDescent="0.25">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row>
    <row r="771" spans="1:25" ht="14.25" customHeight="1" x14ac:dyDescent="0.25">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row>
    <row r="772" spans="1:25" ht="14.25" customHeight="1" x14ac:dyDescent="0.25">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row>
    <row r="773" spans="1:25" ht="14.25" customHeight="1" x14ac:dyDescent="0.25">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row>
    <row r="774" spans="1:25" ht="14.25" customHeight="1" x14ac:dyDescent="0.25">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row>
    <row r="775" spans="1:25" ht="14.25" customHeight="1" x14ac:dyDescent="0.2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row>
    <row r="776" spans="1:25" ht="14.25" customHeight="1" x14ac:dyDescent="0.25">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row>
    <row r="777" spans="1:25" ht="14.25" customHeight="1" x14ac:dyDescent="0.25">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row>
    <row r="778" spans="1:25" ht="14.25" customHeight="1" x14ac:dyDescent="0.25">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row>
    <row r="779" spans="1:25" ht="14.25" customHeight="1" x14ac:dyDescent="0.25">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row>
    <row r="780" spans="1:25" ht="14.25" customHeight="1" x14ac:dyDescent="0.25">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row>
    <row r="781" spans="1:25" ht="14.25" customHeight="1" x14ac:dyDescent="0.25">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row>
    <row r="782" spans="1:25" ht="14.25" customHeight="1" x14ac:dyDescent="0.25">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row>
    <row r="783" spans="1:25" ht="14.25" customHeight="1" x14ac:dyDescent="0.25">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row>
    <row r="784" spans="1:25" ht="14.25" customHeight="1" x14ac:dyDescent="0.25">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row>
    <row r="785" spans="1:25" ht="14.25" customHeight="1" x14ac:dyDescent="0.2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row>
    <row r="786" spans="1:25" ht="14.25" customHeight="1" x14ac:dyDescent="0.25">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row>
    <row r="787" spans="1:25" ht="14.25" customHeight="1" x14ac:dyDescent="0.25">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row>
    <row r="788" spans="1:25" ht="14.25" customHeight="1" x14ac:dyDescent="0.25">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row>
    <row r="789" spans="1:25" ht="14.25" customHeight="1" x14ac:dyDescent="0.25">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row>
    <row r="790" spans="1:25" ht="14.25" customHeight="1" x14ac:dyDescent="0.25">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row>
    <row r="791" spans="1:25" ht="14.25" customHeight="1" x14ac:dyDescent="0.25">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row>
    <row r="792" spans="1:25" ht="14.25" customHeight="1" x14ac:dyDescent="0.25">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row>
    <row r="793" spans="1:25" ht="14.25" customHeight="1" x14ac:dyDescent="0.25">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row>
    <row r="794" spans="1:25" ht="14.25" customHeight="1" x14ac:dyDescent="0.25">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row>
    <row r="795" spans="1:25" ht="14.25" customHeight="1" x14ac:dyDescent="0.2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row>
    <row r="796" spans="1:25" ht="14.25" customHeight="1" x14ac:dyDescent="0.25">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row>
    <row r="797" spans="1:25" ht="14.25" customHeight="1" x14ac:dyDescent="0.25">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row>
    <row r="798" spans="1:25" ht="14.25" customHeight="1" x14ac:dyDescent="0.25">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row>
    <row r="799" spans="1:25" ht="14.25" customHeight="1" x14ac:dyDescent="0.25">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row>
    <row r="800" spans="1:25" ht="14.25" customHeight="1" x14ac:dyDescent="0.25">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row>
    <row r="801" spans="1:25" ht="14.25" customHeight="1" x14ac:dyDescent="0.25">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row>
    <row r="802" spans="1:25" ht="14.25" customHeight="1" x14ac:dyDescent="0.25">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row>
    <row r="803" spans="1:25" ht="14.25" customHeight="1" x14ac:dyDescent="0.25">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row>
    <row r="804" spans="1:25" ht="14.25" customHeight="1" x14ac:dyDescent="0.25">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row>
    <row r="805" spans="1:25" ht="14.25" customHeight="1" x14ac:dyDescent="0.2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row>
    <row r="806" spans="1:25" ht="14.25" customHeight="1" x14ac:dyDescent="0.25">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row>
    <row r="807" spans="1:25" ht="14.25" customHeight="1" x14ac:dyDescent="0.25">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row>
    <row r="808" spans="1:25" ht="14.25" customHeight="1" x14ac:dyDescent="0.25">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row>
    <row r="809" spans="1:25" ht="14.25" customHeight="1" x14ac:dyDescent="0.25">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row>
    <row r="810" spans="1:25" ht="14.25" customHeight="1" x14ac:dyDescent="0.25">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row>
    <row r="811" spans="1:25" ht="14.25" customHeight="1" x14ac:dyDescent="0.25">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row>
    <row r="812" spans="1:25" ht="14.25" customHeight="1" x14ac:dyDescent="0.25">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row>
    <row r="813" spans="1:25" ht="14.25" customHeight="1" x14ac:dyDescent="0.25">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row>
    <row r="814" spans="1:25" ht="14.25" customHeight="1" x14ac:dyDescent="0.25">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row>
    <row r="815" spans="1:25" ht="14.25" customHeight="1" x14ac:dyDescent="0.2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row>
    <row r="816" spans="1:25" ht="14.25" customHeight="1" x14ac:dyDescent="0.25">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row>
    <row r="817" spans="1:25" ht="14.25" customHeight="1" x14ac:dyDescent="0.25">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row>
    <row r="818" spans="1:25" ht="14.25" customHeight="1" x14ac:dyDescent="0.25">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row>
    <row r="819" spans="1:25" ht="14.25" customHeight="1" x14ac:dyDescent="0.25">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row>
    <row r="820" spans="1:25" ht="14.25" customHeight="1" x14ac:dyDescent="0.25">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row>
    <row r="821" spans="1:25" ht="14.25" customHeight="1" x14ac:dyDescent="0.25">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row>
    <row r="822" spans="1:25" ht="14.25" customHeight="1" x14ac:dyDescent="0.25">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row>
    <row r="823" spans="1:25" ht="14.25" customHeight="1" x14ac:dyDescent="0.25">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row>
    <row r="824" spans="1:25" ht="14.25" customHeight="1" x14ac:dyDescent="0.25">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row>
    <row r="825" spans="1:25" ht="14.25" customHeight="1" x14ac:dyDescent="0.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row>
    <row r="826" spans="1:25" ht="14.25" customHeight="1" x14ac:dyDescent="0.25">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row>
    <row r="827" spans="1:25" ht="14.25" customHeight="1" x14ac:dyDescent="0.25">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row>
    <row r="828" spans="1:25" ht="14.25" customHeight="1" x14ac:dyDescent="0.25">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row>
    <row r="829" spans="1:25" ht="14.25" customHeight="1" x14ac:dyDescent="0.25">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row>
    <row r="830" spans="1:25" ht="14.25" customHeight="1" x14ac:dyDescent="0.25">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row>
    <row r="831" spans="1:25" ht="14.25" customHeight="1" x14ac:dyDescent="0.25">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row>
    <row r="832" spans="1:25" ht="14.25" customHeight="1" x14ac:dyDescent="0.25">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row>
    <row r="833" spans="1:25" ht="14.25" customHeight="1" x14ac:dyDescent="0.25">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row>
    <row r="834" spans="1:25" ht="14.25" customHeight="1" x14ac:dyDescent="0.25">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row>
    <row r="835" spans="1:25" ht="14.25" customHeight="1" x14ac:dyDescent="0.2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row>
    <row r="836" spans="1:25" ht="14.25" customHeight="1" x14ac:dyDescent="0.25">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row>
    <row r="837" spans="1:25" ht="14.25" customHeight="1" x14ac:dyDescent="0.25">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row>
    <row r="838" spans="1:25" ht="14.25" customHeight="1" x14ac:dyDescent="0.25">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row>
    <row r="839" spans="1:25" ht="14.25" customHeight="1" x14ac:dyDescent="0.25">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row>
    <row r="840" spans="1:25" ht="14.25" customHeight="1" x14ac:dyDescent="0.25">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row>
    <row r="841" spans="1:25" ht="14.25" customHeight="1" x14ac:dyDescent="0.25">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row>
    <row r="842" spans="1:25" ht="14.25" customHeight="1" x14ac:dyDescent="0.25">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row>
    <row r="843" spans="1:25" ht="14.25" customHeight="1" x14ac:dyDescent="0.25">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row>
    <row r="844" spans="1:25" ht="14.25" customHeight="1" x14ac:dyDescent="0.25">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row>
    <row r="845" spans="1:25" ht="14.25" customHeight="1" x14ac:dyDescent="0.2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row>
    <row r="846" spans="1:25" ht="14.25" customHeight="1" x14ac:dyDescent="0.25">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row>
    <row r="847" spans="1:25" ht="14.25" customHeight="1" x14ac:dyDescent="0.25">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row>
    <row r="848" spans="1:25" ht="14.25" customHeight="1" x14ac:dyDescent="0.25">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row>
    <row r="849" spans="1:25" ht="14.25" customHeight="1" x14ac:dyDescent="0.25">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row>
    <row r="850" spans="1:25" ht="14.25" customHeight="1" x14ac:dyDescent="0.25">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row>
    <row r="851" spans="1:25" ht="14.25" customHeight="1" x14ac:dyDescent="0.25">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row>
    <row r="852" spans="1:25" ht="14.25" customHeight="1" x14ac:dyDescent="0.25">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row>
    <row r="853" spans="1:25" ht="14.25" customHeight="1" x14ac:dyDescent="0.25">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row>
    <row r="854" spans="1:25" ht="14.25" customHeight="1" x14ac:dyDescent="0.25">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row>
    <row r="855" spans="1:25" ht="14.25" customHeight="1" x14ac:dyDescent="0.2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row>
    <row r="856" spans="1:25" ht="14.25" customHeight="1" x14ac:dyDescent="0.25">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row>
    <row r="857" spans="1:25" ht="14.25" customHeight="1" x14ac:dyDescent="0.25">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row>
    <row r="858" spans="1:25" ht="14.25" customHeight="1" x14ac:dyDescent="0.25">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row>
    <row r="859" spans="1:25" ht="14.25" customHeight="1" x14ac:dyDescent="0.25">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row>
    <row r="860" spans="1:25" ht="14.25" customHeight="1" x14ac:dyDescent="0.25">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row>
    <row r="861" spans="1:25" ht="14.25" customHeight="1" x14ac:dyDescent="0.25">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row>
    <row r="862" spans="1:25" ht="14.25" customHeight="1" x14ac:dyDescent="0.25">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row>
    <row r="863" spans="1:25" ht="14.25" customHeight="1" x14ac:dyDescent="0.25">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row>
    <row r="864" spans="1:25" ht="14.25" customHeight="1" x14ac:dyDescent="0.25">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row>
    <row r="865" spans="1:25" ht="14.25" customHeight="1" x14ac:dyDescent="0.2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row>
    <row r="866" spans="1:25" ht="14.25" customHeight="1" x14ac:dyDescent="0.25">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row>
    <row r="867" spans="1:25" ht="14.25" customHeight="1" x14ac:dyDescent="0.25">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row>
    <row r="868" spans="1:25" ht="14.25" customHeight="1" x14ac:dyDescent="0.25">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row>
    <row r="869" spans="1:25" ht="14.25" customHeight="1" x14ac:dyDescent="0.25">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row>
    <row r="870" spans="1:25" ht="14.25" customHeight="1" x14ac:dyDescent="0.25">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row>
    <row r="871" spans="1:25" ht="14.25" customHeight="1" x14ac:dyDescent="0.25">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row>
    <row r="872" spans="1:25" ht="14.25" customHeight="1" x14ac:dyDescent="0.25">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row>
    <row r="873" spans="1:25" ht="14.25" customHeight="1" x14ac:dyDescent="0.25">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row>
    <row r="874" spans="1:25" ht="14.25" customHeight="1" x14ac:dyDescent="0.25">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row>
    <row r="875" spans="1:25" ht="14.25" customHeight="1" x14ac:dyDescent="0.2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row>
    <row r="876" spans="1:25" ht="14.25" customHeight="1" x14ac:dyDescent="0.25">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row>
    <row r="877" spans="1:25" ht="14.25" customHeight="1" x14ac:dyDescent="0.25">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row>
    <row r="878" spans="1:25" ht="14.25" customHeight="1" x14ac:dyDescent="0.25">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row>
    <row r="879" spans="1:25" ht="14.25" customHeight="1" x14ac:dyDescent="0.25">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row>
    <row r="880" spans="1:25" ht="14.25" customHeight="1" x14ac:dyDescent="0.25">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row>
    <row r="881" spans="1:25" ht="14.25" customHeight="1" x14ac:dyDescent="0.25">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row>
    <row r="882" spans="1:25" ht="14.25" customHeight="1" x14ac:dyDescent="0.25">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row>
    <row r="883" spans="1:25" ht="14.25" customHeight="1" x14ac:dyDescent="0.25">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row>
    <row r="884" spans="1:25" ht="14.25" customHeight="1" x14ac:dyDescent="0.25">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row>
    <row r="885" spans="1:25" ht="14.25" customHeight="1" x14ac:dyDescent="0.2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row>
    <row r="886" spans="1:25" ht="14.25" customHeight="1" x14ac:dyDescent="0.25">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row>
    <row r="887" spans="1:25" ht="14.25" customHeight="1" x14ac:dyDescent="0.25">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row>
    <row r="888" spans="1:25" ht="14.25" customHeight="1" x14ac:dyDescent="0.25">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row>
    <row r="889" spans="1:25" ht="14.25" customHeight="1" x14ac:dyDescent="0.25">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row>
    <row r="890" spans="1:25" ht="14.25" customHeight="1" x14ac:dyDescent="0.25">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row>
    <row r="891" spans="1:25" ht="14.25" customHeight="1" x14ac:dyDescent="0.25">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row>
    <row r="892" spans="1:25" ht="14.25" customHeight="1" x14ac:dyDescent="0.25">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row>
    <row r="893" spans="1:25" ht="14.25" customHeight="1" x14ac:dyDescent="0.25">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row>
    <row r="894" spans="1:25" ht="14.25" customHeight="1" x14ac:dyDescent="0.25">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row>
    <row r="895" spans="1:25" ht="14.25" customHeight="1" x14ac:dyDescent="0.2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row>
    <row r="896" spans="1:25" ht="14.25" customHeight="1" x14ac:dyDescent="0.25">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row>
    <row r="897" spans="1:25" ht="14.25" customHeight="1" x14ac:dyDescent="0.25">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row>
    <row r="898" spans="1:25" ht="14.25" customHeight="1" x14ac:dyDescent="0.25">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row>
    <row r="899" spans="1:25" ht="14.25" customHeight="1" x14ac:dyDescent="0.25">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row>
    <row r="900" spans="1:25" ht="14.25" customHeight="1" x14ac:dyDescent="0.25">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row>
    <row r="901" spans="1:25" ht="14.25" customHeight="1" x14ac:dyDescent="0.25">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row>
    <row r="902" spans="1:25" ht="14.25" customHeight="1" x14ac:dyDescent="0.25">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row>
    <row r="903" spans="1:25" ht="14.25" customHeight="1" x14ac:dyDescent="0.25">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row>
    <row r="904" spans="1:25" ht="14.25" customHeight="1" x14ac:dyDescent="0.25">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row>
    <row r="905" spans="1:25" ht="14.25" customHeight="1" x14ac:dyDescent="0.2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row>
    <row r="906" spans="1:25" ht="14.25" customHeight="1" x14ac:dyDescent="0.25">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row>
    <row r="907" spans="1:25" ht="14.25" customHeight="1" x14ac:dyDescent="0.25">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row>
    <row r="908" spans="1:25" ht="14.25" customHeight="1" x14ac:dyDescent="0.25">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row>
    <row r="909" spans="1:25" ht="14.25" customHeight="1" x14ac:dyDescent="0.25">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row>
    <row r="910" spans="1:25" ht="14.25" customHeight="1" x14ac:dyDescent="0.25">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row>
    <row r="911" spans="1:25" ht="14.25" customHeight="1" x14ac:dyDescent="0.25">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row>
    <row r="912" spans="1:25" ht="14.25" customHeight="1" x14ac:dyDescent="0.25">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row>
    <row r="913" spans="1:25" ht="14.25" customHeight="1" x14ac:dyDescent="0.25">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row>
    <row r="914" spans="1:25" ht="14.25" customHeight="1" x14ac:dyDescent="0.25">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row>
    <row r="915" spans="1:25" ht="14.25" customHeight="1" x14ac:dyDescent="0.2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row>
    <row r="916" spans="1:25" ht="14.25" customHeight="1" x14ac:dyDescent="0.25">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row>
    <row r="917" spans="1:25" ht="14.25" customHeight="1" x14ac:dyDescent="0.25">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row>
    <row r="918" spans="1:25" ht="14.25" customHeight="1" x14ac:dyDescent="0.25">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row>
    <row r="919" spans="1:25" ht="14.25" customHeight="1" x14ac:dyDescent="0.25">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row>
    <row r="920" spans="1:25" ht="14.25" customHeight="1" x14ac:dyDescent="0.25">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row>
    <row r="921" spans="1:25" ht="14.25" customHeight="1" x14ac:dyDescent="0.25">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row>
    <row r="922" spans="1:25" ht="14.25" customHeight="1" x14ac:dyDescent="0.25">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row>
    <row r="923" spans="1:25" ht="14.25" customHeight="1" x14ac:dyDescent="0.25">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row>
    <row r="924" spans="1:25" ht="14.25" customHeight="1" x14ac:dyDescent="0.25">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row>
    <row r="925" spans="1:25" ht="14.25" customHeight="1" x14ac:dyDescent="0.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row>
    <row r="926" spans="1:25" ht="14.25" customHeight="1" x14ac:dyDescent="0.25">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row>
    <row r="927" spans="1:25" ht="14.25" customHeight="1" x14ac:dyDescent="0.25">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row>
    <row r="928" spans="1:25" ht="14.25" customHeight="1" x14ac:dyDescent="0.25">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row>
    <row r="929" spans="1:25" ht="14.25" customHeight="1" x14ac:dyDescent="0.25">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row>
    <row r="930" spans="1:25" ht="14.25" customHeight="1" x14ac:dyDescent="0.25">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row>
    <row r="931" spans="1:25" ht="14.25" customHeight="1" x14ac:dyDescent="0.25">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row>
    <row r="932" spans="1:25" ht="14.25" customHeight="1" x14ac:dyDescent="0.25">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row>
    <row r="933" spans="1:25" ht="14.25" customHeight="1" x14ac:dyDescent="0.25">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row>
    <row r="934" spans="1:25" ht="14.25" customHeight="1" x14ac:dyDescent="0.25">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row>
    <row r="935" spans="1:25" ht="14.25" customHeight="1" x14ac:dyDescent="0.2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row>
    <row r="936" spans="1:25" ht="14.25" customHeight="1" x14ac:dyDescent="0.25">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row>
    <row r="937" spans="1:25" ht="14.25" customHeight="1" x14ac:dyDescent="0.25">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row>
    <row r="938" spans="1:25" ht="14.25" customHeight="1" x14ac:dyDescent="0.25">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row>
    <row r="939" spans="1:25" ht="14.25" customHeight="1" x14ac:dyDescent="0.25">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row>
    <row r="940" spans="1:25" ht="14.25" customHeight="1" x14ac:dyDescent="0.25">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row>
    <row r="941" spans="1:25" ht="14.25" customHeight="1" x14ac:dyDescent="0.25">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row>
    <row r="942" spans="1:25" ht="14.25" customHeight="1" x14ac:dyDescent="0.25">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row>
    <row r="943" spans="1:25" ht="14.25" customHeight="1" x14ac:dyDescent="0.25">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row>
    <row r="944" spans="1:25" ht="14.25" customHeight="1" x14ac:dyDescent="0.25">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row>
    <row r="945" spans="1:25" ht="14.25" customHeight="1" x14ac:dyDescent="0.2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row>
    <row r="946" spans="1:25" ht="14.25" customHeight="1" x14ac:dyDescent="0.25">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row>
    <row r="947" spans="1:25" ht="14.25" customHeight="1" x14ac:dyDescent="0.25">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row>
    <row r="948" spans="1:25" ht="14.25" customHeight="1" x14ac:dyDescent="0.25">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row>
    <row r="949" spans="1:25" ht="14.25" customHeight="1" x14ac:dyDescent="0.25">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row>
    <row r="950" spans="1:25" ht="14.25" customHeight="1" x14ac:dyDescent="0.25">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row>
    <row r="951" spans="1:25" ht="14.25" customHeight="1" x14ac:dyDescent="0.25">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row>
    <row r="952" spans="1:25" ht="14.25" customHeight="1" x14ac:dyDescent="0.25">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row>
    <row r="953" spans="1:25" ht="14.25" customHeight="1" x14ac:dyDescent="0.25">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row>
    <row r="954" spans="1:25" ht="14.25" customHeight="1" x14ac:dyDescent="0.25">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row>
    <row r="955" spans="1:25" ht="14.25" customHeight="1" x14ac:dyDescent="0.2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row>
    <row r="956" spans="1:25" ht="14.25" customHeight="1" x14ac:dyDescent="0.25">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row>
    <row r="957" spans="1:25" ht="14.25" customHeight="1" x14ac:dyDescent="0.25">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row>
    <row r="958" spans="1:25" ht="14.25" customHeight="1" x14ac:dyDescent="0.25">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row>
    <row r="959" spans="1:25" ht="14.25" customHeight="1" x14ac:dyDescent="0.25">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row>
    <row r="960" spans="1:25" ht="14.25" customHeight="1" x14ac:dyDescent="0.25">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row>
    <row r="961" spans="1:25" ht="14.25" customHeight="1" x14ac:dyDescent="0.25">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row>
    <row r="962" spans="1:25" ht="14.25" customHeight="1" x14ac:dyDescent="0.25">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row>
    <row r="963" spans="1:25" ht="14.25" customHeight="1" x14ac:dyDescent="0.25">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row>
    <row r="964" spans="1:25" ht="14.25" customHeight="1" x14ac:dyDescent="0.25">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row>
    <row r="965" spans="1:25" ht="14.25" customHeight="1" x14ac:dyDescent="0.2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row>
    <row r="966" spans="1:25" ht="14.25" customHeight="1" x14ac:dyDescent="0.25">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row>
    <row r="967" spans="1:25" ht="14.25" customHeight="1" x14ac:dyDescent="0.25">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row>
    <row r="968" spans="1:25" ht="14.25" customHeight="1" x14ac:dyDescent="0.25">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row>
    <row r="969" spans="1:25" ht="14.25" customHeight="1" x14ac:dyDescent="0.25">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row>
    <row r="970" spans="1:25" ht="14.25" customHeight="1" x14ac:dyDescent="0.25">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row>
    <row r="971" spans="1:25" ht="14.25" customHeight="1" x14ac:dyDescent="0.25">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row>
    <row r="972" spans="1:25" ht="14.25" customHeight="1" x14ac:dyDescent="0.25">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row>
    <row r="973" spans="1:25" ht="14.25" customHeight="1" x14ac:dyDescent="0.25">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row>
    <row r="974" spans="1:25" ht="14.25" customHeight="1" x14ac:dyDescent="0.25">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row>
    <row r="975" spans="1:25" ht="14.25" customHeight="1" x14ac:dyDescent="0.2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row>
    <row r="976" spans="1:25" ht="14.25" customHeight="1" x14ac:dyDescent="0.25">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row>
    <row r="977" spans="1:25" ht="14.25" customHeight="1" x14ac:dyDescent="0.25">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row>
    <row r="978" spans="1:25" ht="14.25" customHeight="1" x14ac:dyDescent="0.25">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row>
    <row r="979" spans="1:25" ht="14.25" customHeight="1" x14ac:dyDescent="0.25">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row>
    <row r="980" spans="1:25" ht="14.25" customHeight="1" x14ac:dyDescent="0.25">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row>
    <row r="981" spans="1:25" ht="14.25" customHeight="1" x14ac:dyDescent="0.25">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row>
    <row r="982" spans="1:25" ht="14.25" customHeight="1" x14ac:dyDescent="0.25">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row>
    <row r="983" spans="1:25" ht="14.25" customHeight="1" x14ac:dyDescent="0.25">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row>
    <row r="984" spans="1:25" ht="14.25" customHeight="1" x14ac:dyDescent="0.25">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row>
    <row r="985" spans="1:25" ht="14.25" customHeight="1" x14ac:dyDescent="0.2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row>
    <row r="986" spans="1:25" ht="14.25" customHeight="1" x14ac:dyDescent="0.25">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row>
    <row r="987" spans="1:25" ht="14.25" customHeight="1" x14ac:dyDescent="0.25">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row>
    <row r="988" spans="1:25" ht="14.25" customHeight="1" x14ac:dyDescent="0.25">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row>
    <row r="989" spans="1:25" ht="14.25" customHeight="1" x14ac:dyDescent="0.25">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row>
    <row r="990" spans="1:25" ht="14.25" customHeight="1" x14ac:dyDescent="0.25">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row>
    <row r="991" spans="1:25" ht="14.25" customHeight="1" x14ac:dyDescent="0.25">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row>
    <row r="992" spans="1:25" ht="14.25" customHeight="1" x14ac:dyDescent="0.25">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row>
    <row r="993" spans="1:25" ht="14.25" customHeight="1" x14ac:dyDescent="0.25">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row>
    <row r="994" spans="1:25" ht="14.25" customHeight="1" x14ac:dyDescent="0.25">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row>
    <row r="995" spans="1:25" ht="14.25" customHeight="1" x14ac:dyDescent="0.2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row>
    <row r="996" spans="1:25" ht="14.25" customHeight="1" x14ac:dyDescent="0.25">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row>
    <row r="997" spans="1:25" ht="14.25" customHeight="1" x14ac:dyDescent="0.25">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row>
    <row r="998" spans="1:25" ht="14.25" customHeight="1" x14ac:dyDescent="0.25">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row>
    <row r="999" spans="1:25" ht="14.25" customHeight="1" x14ac:dyDescent="0.25">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row>
  </sheetData>
  <mergeCells count="7">
    <mergeCell ref="D26:E26"/>
    <mergeCell ref="D7:F14"/>
    <mergeCell ref="A21:I21"/>
    <mergeCell ref="D25:E25"/>
    <mergeCell ref="D24:E24"/>
    <mergeCell ref="D23:E23"/>
    <mergeCell ref="A22:I22"/>
  </mergeCells>
  <pageMargins left="0" right="0" top="0" bottom="0.25" header="0" footer="0"/>
  <pageSetup paperSize="9" orientation="portrait"/>
  <headerFooter>
    <oddHeader>&amp;L&amp;"Arial,Regular"&amp;10 &amp;K000000RESTRICTED  - Third Party</oddHeader>
    <oddFooter>&amp;R&amp;"Calibri"&amp;11&amp;K000000&amp;"Calibri"&amp;11&amp;K000000#FF8C00مقيد – داخلي_x000D_&amp;1#&amp;"Courier New"&amp;10 &amp;K0078D7مقيد – عام</oddFooter>
    <evenHeader>&amp;L&amp;"Arial,Regular"&amp;10 &amp;K000000RESTRICTED  - Third Party</evenHeader>
    <firstHeader>&amp;L&amp;"Arial,Regular"&amp;10 &amp;K000000RESTRICTED  - Third Party</first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autoPageBreaks="0"/>
  </sheetPr>
  <dimension ref="B1:L1000"/>
  <sheetViews>
    <sheetView topLeftCell="C1" workbookViewId="0">
      <selection activeCell="L1" sqref="L1"/>
    </sheetView>
  </sheetViews>
  <sheetFormatPr defaultColWidth="14.44140625" defaultRowHeight="15" customHeight="1" x14ac:dyDescent="0.3"/>
  <cols>
    <col min="1" max="1" width="8.5546875" customWidth="1"/>
    <col min="2" max="2" width="31.88671875" customWidth="1"/>
    <col min="3" max="3" width="8.5546875" customWidth="1"/>
    <col min="4" max="4" width="26.109375" customWidth="1"/>
    <col min="5" max="5" width="11.5546875" customWidth="1"/>
    <col min="6" max="6" width="19.44140625" bestFit="1" customWidth="1"/>
    <col min="7" max="9" width="8.5546875" customWidth="1"/>
    <col min="10" max="10" width="33.5546875" bestFit="1" customWidth="1"/>
    <col min="11" max="11" width="8.5546875" customWidth="1"/>
    <col min="12" max="12" width="39.5546875" bestFit="1" customWidth="1"/>
    <col min="13" max="20" width="8.5546875" customWidth="1"/>
  </cols>
  <sheetData>
    <row r="1" spans="2:12" ht="14.25" customHeight="1" x14ac:dyDescent="0.3">
      <c r="B1" s="1" t="s">
        <v>52</v>
      </c>
      <c r="D1" s="1" t="s">
        <v>53</v>
      </c>
      <c r="F1" t="s">
        <v>54</v>
      </c>
      <c r="H1">
        <v>1</v>
      </c>
      <c r="J1" s="47" t="s">
        <v>43</v>
      </c>
      <c r="L1" t="s">
        <v>55</v>
      </c>
    </row>
    <row r="2" spans="2:12" ht="14.25" customHeight="1" x14ac:dyDescent="0.3">
      <c r="B2" s="1" t="s">
        <v>25</v>
      </c>
      <c r="D2" s="1" t="s">
        <v>32</v>
      </c>
      <c r="F2" t="s">
        <v>56</v>
      </c>
      <c r="H2">
        <v>2</v>
      </c>
      <c r="J2" s="47" t="s">
        <v>31</v>
      </c>
      <c r="L2" t="s">
        <v>57</v>
      </c>
    </row>
    <row r="3" spans="2:12" ht="14.25" customHeight="1" x14ac:dyDescent="0.3">
      <c r="B3" s="1" t="s">
        <v>58</v>
      </c>
      <c r="D3" s="1" t="s">
        <v>59</v>
      </c>
      <c r="F3" t="s">
        <v>60</v>
      </c>
      <c r="H3">
        <v>3</v>
      </c>
      <c r="J3" s="47" t="s">
        <v>61</v>
      </c>
      <c r="L3" t="s">
        <v>62</v>
      </c>
    </row>
    <row r="4" spans="2:12" ht="14.25" customHeight="1" x14ac:dyDescent="0.3">
      <c r="B4" s="1" t="s">
        <v>63</v>
      </c>
      <c r="D4" s="1" t="s">
        <v>64</v>
      </c>
      <c r="F4" t="s">
        <v>48</v>
      </c>
      <c r="H4">
        <v>4</v>
      </c>
      <c r="J4" s="47" t="s">
        <v>65</v>
      </c>
      <c r="L4" t="s">
        <v>66</v>
      </c>
    </row>
    <row r="5" spans="2:12" ht="14.25" customHeight="1" x14ac:dyDescent="0.3">
      <c r="D5" s="1" t="s">
        <v>67</v>
      </c>
      <c r="F5" t="s">
        <v>68</v>
      </c>
      <c r="H5">
        <v>5</v>
      </c>
      <c r="J5" s="47" t="s">
        <v>69</v>
      </c>
      <c r="L5" t="s">
        <v>70</v>
      </c>
    </row>
    <row r="6" spans="2:12" ht="14.25" customHeight="1" x14ac:dyDescent="0.3">
      <c r="J6" s="47" t="s">
        <v>71</v>
      </c>
      <c r="L6" t="s">
        <v>39</v>
      </c>
    </row>
    <row r="7" spans="2:12" ht="14.25" customHeight="1" x14ac:dyDescent="0.3">
      <c r="J7" s="47" t="s">
        <v>37</v>
      </c>
      <c r="L7" t="s">
        <v>72</v>
      </c>
    </row>
    <row r="8" spans="2:12" ht="14.25" customHeight="1" x14ac:dyDescent="0.3">
      <c r="L8" t="s">
        <v>73</v>
      </c>
    </row>
    <row r="9" spans="2:12" ht="14.25" customHeight="1" x14ac:dyDescent="0.3">
      <c r="L9" t="s">
        <v>74</v>
      </c>
    </row>
    <row r="10" spans="2:12" ht="14.25" customHeight="1" x14ac:dyDescent="0.3">
      <c r="L10" t="s">
        <v>75</v>
      </c>
    </row>
    <row r="11" spans="2:12" ht="14.25" customHeight="1" x14ac:dyDescent="0.3">
      <c r="L11" t="s">
        <v>76</v>
      </c>
    </row>
    <row r="12" spans="2:12" ht="14.25" customHeight="1" x14ac:dyDescent="0.3">
      <c r="L12" t="s">
        <v>29</v>
      </c>
    </row>
    <row r="13" spans="2:12" ht="14.25" customHeight="1" x14ac:dyDescent="0.3">
      <c r="L13" t="s">
        <v>77</v>
      </c>
    </row>
    <row r="14" spans="2:12" ht="14.25" customHeight="1" x14ac:dyDescent="0.3">
      <c r="L14" t="s">
        <v>78</v>
      </c>
    </row>
    <row r="15" spans="2:12" ht="14.25" customHeight="1" x14ac:dyDescent="0.3">
      <c r="L15" t="s">
        <v>79</v>
      </c>
    </row>
    <row r="16" spans="2:12" ht="14.25" customHeight="1" x14ac:dyDescent="0.3">
      <c r="L16" t="s">
        <v>80</v>
      </c>
    </row>
    <row r="17" spans="12:12" ht="14.25" customHeight="1" x14ac:dyDescent="0.3">
      <c r="L17" t="s">
        <v>81</v>
      </c>
    </row>
    <row r="18" spans="12:12" ht="14.25" customHeight="1" x14ac:dyDescent="0.3">
      <c r="L18" t="s">
        <v>82</v>
      </c>
    </row>
    <row r="19" spans="12:12" ht="14.25" customHeight="1" x14ac:dyDescent="0.3">
      <c r="L19" t="s">
        <v>83</v>
      </c>
    </row>
    <row r="20" spans="12:12" ht="14.25" customHeight="1" x14ac:dyDescent="0.3">
      <c r="L20" t="s">
        <v>84</v>
      </c>
    </row>
    <row r="21" spans="12:12" ht="14.25" customHeight="1" x14ac:dyDescent="0.3">
      <c r="L21" t="s">
        <v>85</v>
      </c>
    </row>
    <row r="22" spans="12:12" ht="14.25" customHeight="1" x14ac:dyDescent="0.3">
      <c r="L22" t="s">
        <v>86</v>
      </c>
    </row>
    <row r="23" spans="12:12" ht="14.25" customHeight="1" x14ac:dyDescent="0.3">
      <c r="L23" t="s">
        <v>87</v>
      </c>
    </row>
    <row r="24" spans="12:12" ht="14.25" customHeight="1" x14ac:dyDescent="0.3"/>
    <row r="25" spans="12:12" ht="14.25" customHeight="1" x14ac:dyDescent="0.3"/>
    <row r="26" spans="12:12" ht="14.25" customHeight="1" x14ac:dyDescent="0.3"/>
    <row r="27" spans="12:12" ht="14.25" customHeight="1" x14ac:dyDescent="0.3"/>
    <row r="28" spans="12:12" ht="14.25" customHeight="1" x14ac:dyDescent="0.3"/>
    <row r="29" spans="12:12" ht="14.25" customHeight="1" x14ac:dyDescent="0.3"/>
    <row r="30" spans="12:12" ht="14.25" customHeight="1" x14ac:dyDescent="0.3"/>
    <row r="31" spans="12:12" ht="14.25" customHeight="1" x14ac:dyDescent="0.3"/>
    <row r="32" spans="12: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headerFooter>
    <oddHeader>&amp;L&amp;"Arial,Regular"&amp;10 &amp;K000000RESTRICTED  - Third Party</oddHeader>
    <oddFooter>&amp;R&amp;"Calibri"&amp;11&amp;K000000&amp;"Calibri"&amp;11&amp;K000000#FF8C00مقيد – داخلي_x000D_&amp;1#&amp;"Courier New"&amp;10 &amp;K0078D7مقيد – عام</oddFooter>
    <evenHeader>&amp;L&amp;"Arial,Regular"&amp;10 &amp;K000000RESTRICTED  - Third Party</evenHeader>
    <firstHeader>&amp;L&amp;"Arial,Regular"&amp;10 &amp;K000000RESTRICTED  - Third Party</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outlinePr summaryBelow="0" summaryRight="0"/>
    <pageSetUpPr autoPageBreaks="0"/>
  </sheetPr>
  <dimension ref="A1:AA990"/>
  <sheetViews>
    <sheetView showGridLines="0" workbookViewId="0">
      <selection activeCell="F28" sqref="F28"/>
    </sheetView>
  </sheetViews>
  <sheetFormatPr defaultColWidth="14.44140625" defaultRowHeight="15" customHeight="1" x14ac:dyDescent="0.3"/>
  <cols>
    <col min="1" max="1" width="8" style="29" customWidth="1"/>
    <col min="2" max="6" width="16.88671875" style="29" customWidth="1"/>
    <col min="7" max="7" width="8" style="29" customWidth="1"/>
    <col min="8" max="8" width="14.44140625" style="29" customWidth="1"/>
    <col min="9" max="16384" width="14.44140625" style="29"/>
  </cols>
  <sheetData>
    <row r="1" spans="1:27" ht="15" customHeight="1" x14ac:dyDescent="0.3">
      <c r="A1" s="19"/>
      <c r="B1" s="20"/>
      <c r="C1" s="20"/>
      <c r="D1" s="20"/>
      <c r="E1" s="20"/>
      <c r="F1" s="20"/>
      <c r="G1" s="21"/>
      <c r="H1" s="2"/>
      <c r="I1" s="2"/>
      <c r="J1" s="2"/>
      <c r="K1" s="2"/>
      <c r="L1" s="2"/>
      <c r="M1" s="2"/>
      <c r="N1" s="2"/>
      <c r="O1" s="2"/>
      <c r="P1" s="2"/>
      <c r="Q1" s="2"/>
      <c r="R1" s="2"/>
      <c r="S1" s="2"/>
      <c r="T1" s="2"/>
      <c r="U1" s="2"/>
      <c r="V1" s="2"/>
      <c r="W1" s="2"/>
      <c r="X1" s="2"/>
      <c r="Y1" s="2"/>
      <c r="Z1" s="2"/>
      <c r="AA1" s="28"/>
    </row>
    <row r="2" spans="1:27" ht="15" customHeight="1" x14ac:dyDescent="0.3">
      <c r="A2" s="22"/>
      <c r="B2" s="23"/>
      <c r="C2" s="23"/>
      <c r="D2" s="23"/>
      <c r="E2" s="23"/>
      <c r="F2" s="23"/>
      <c r="G2" s="24"/>
      <c r="H2" s="2"/>
      <c r="I2" s="2"/>
      <c r="J2" s="2"/>
      <c r="K2" s="2"/>
      <c r="L2" s="2"/>
      <c r="M2" s="2"/>
      <c r="N2" s="2"/>
      <c r="O2" s="2"/>
      <c r="P2" s="2"/>
      <c r="Q2" s="2"/>
      <c r="R2" s="2"/>
      <c r="S2" s="2"/>
      <c r="T2" s="2"/>
      <c r="U2" s="2"/>
      <c r="V2" s="2"/>
      <c r="W2" s="2"/>
      <c r="X2" s="2"/>
      <c r="Y2" s="2"/>
      <c r="Z2" s="2"/>
      <c r="AA2" s="28"/>
    </row>
    <row r="3" spans="1:27" ht="15" customHeight="1" x14ac:dyDescent="0.3">
      <c r="A3" s="60"/>
      <c r="B3" s="59"/>
      <c r="C3" s="59"/>
      <c r="D3" s="59"/>
      <c r="E3" s="59"/>
      <c r="F3" s="59"/>
      <c r="G3" s="61"/>
      <c r="H3" s="2"/>
      <c r="I3" s="2"/>
      <c r="J3" s="2"/>
      <c r="K3" s="2"/>
      <c r="L3" s="2"/>
      <c r="M3" s="2"/>
      <c r="N3" s="2"/>
      <c r="O3" s="2"/>
      <c r="P3" s="2"/>
      <c r="Q3" s="2"/>
      <c r="R3" s="2"/>
      <c r="S3" s="2"/>
      <c r="T3" s="2"/>
      <c r="U3" s="2"/>
      <c r="V3" s="2"/>
      <c r="W3" s="2"/>
      <c r="X3" s="2"/>
      <c r="Y3" s="2"/>
      <c r="Z3" s="2"/>
      <c r="AA3" s="28"/>
    </row>
    <row r="4" spans="1:27" ht="15" customHeight="1" x14ac:dyDescent="0.3">
      <c r="A4" s="60"/>
      <c r="B4" s="59"/>
      <c r="C4" s="59"/>
      <c r="D4" s="59"/>
      <c r="E4" s="59"/>
      <c r="F4" s="59"/>
      <c r="G4" s="61"/>
      <c r="H4" s="2"/>
      <c r="I4" s="2"/>
      <c r="J4" s="2"/>
      <c r="K4" s="2"/>
      <c r="L4" s="2"/>
      <c r="M4" s="2"/>
      <c r="N4" s="2"/>
      <c r="O4" s="2"/>
      <c r="P4" s="2"/>
      <c r="Q4" s="2"/>
      <c r="R4" s="2"/>
      <c r="S4" s="2"/>
      <c r="T4" s="2"/>
      <c r="U4" s="2"/>
      <c r="V4" s="2"/>
      <c r="W4" s="2"/>
      <c r="X4" s="2"/>
      <c r="Y4" s="2"/>
      <c r="Z4" s="2"/>
      <c r="AA4" s="28"/>
    </row>
    <row r="5" spans="1:27" ht="15" customHeight="1" x14ac:dyDescent="0.3">
      <c r="A5" s="60"/>
      <c r="B5" s="59"/>
      <c r="C5" s="59"/>
      <c r="D5" s="59"/>
      <c r="E5" s="59"/>
      <c r="F5" s="59"/>
      <c r="G5" s="61"/>
      <c r="H5" s="2"/>
      <c r="I5" s="2"/>
      <c r="J5" s="2"/>
      <c r="K5" s="2"/>
      <c r="L5" s="2"/>
      <c r="M5" s="2"/>
      <c r="N5" s="2"/>
      <c r="O5" s="2"/>
      <c r="P5" s="2"/>
      <c r="Q5" s="2"/>
      <c r="R5" s="2"/>
      <c r="S5" s="2"/>
      <c r="T5" s="2"/>
      <c r="U5" s="2"/>
      <c r="V5" s="2"/>
      <c r="W5" s="2"/>
      <c r="X5" s="2"/>
      <c r="Y5" s="2"/>
      <c r="Z5" s="2"/>
      <c r="AA5" s="28"/>
    </row>
    <row r="6" spans="1:27" ht="15" customHeight="1" x14ac:dyDescent="0.3">
      <c r="A6" s="60"/>
      <c r="B6" s="59"/>
      <c r="C6" s="59"/>
      <c r="D6" s="59"/>
      <c r="E6" s="59"/>
      <c r="F6" s="59"/>
      <c r="G6" s="61"/>
      <c r="H6" s="2"/>
      <c r="I6" s="2"/>
      <c r="J6" s="2"/>
      <c r="K6" s="2"/>
      <c r="L6" s="2"/>
      <c r="M6" s="2"/>
      <c r="N6" s="2"/>
      <c r="O6" s="2"/>
      <c r="P6" s="2"/>
      <c r="Q6" s="2"/>
      <c r="R6" s="2"/>
      <c r="S6" s="2"/>
      <c r="T6" s="2"/>
      <c r="U6" s="2"/>
      <c r="V6" s="2"/>
      <c r="W6" s="2"/>
      <c r="X6" s="2"/>
      <c r="Y6" s="2"/>
      <c r="Z6" s="2"/>
      <c r="AA6" s="28"/>
    </row>
    <row r="7" spans="1:27" ht="15" customHeight="1" x14ac:dyDescent="0.3">
      <c r="A7" s="60"/>
      <c r="B7" s="59"/>
      <c r="C7" s="59"/>
      <c r="D7" s="59"/>
      <c r="E7" s="59"/>
      <c r="F7" s="59"/>
      <c r="G7" s="61"/>
      <c r="H7" s="2"/>
      <c r="I7" s="2"/>
      <c r="J7" s="2"/>
      <c r="K7" s="2"/>
      <c r="L7" s="2"/>
      <c r="M7" s="2"/>
      <c r="N7" s="2"/>
      <c r="O7" s="2"/>
      <c r="P7" s="2"/>
      <c r="Q7" s="2"/>
      <c r="R7" s="2"/>
      <c r="S7" s="2"/>
      <c r="T7" s="2"/>
      <c r="U7" s="2"/>
      <c r="V7" s="2"/>
      <c r="W7" s="2"/>
      <c r="X7" s="2"/>
      <c r="Y7" s="2"/>
      <c r="Z7" s="2"/>
      <c r="AA7" s="28"/>
    </row>
    <row r="8" spans="1:27" ht="15" customHeight="1" x14ac:dyDescent="0.3">
      <c r="A8" s="22"/>
      <c r="B8" s="97" t="s">
        <v>88</v>
      </c>
      <c r="C8" s="98"/>
      <c r="D8" s="98"/>
      <c r="E8" s="98"/>
      <c r="F8" s="99"/>
      <c r="G8" s="24"/>
      <c r="H8" s="2"/>
      <c r="I8" s="2"/>
      <c r="J8" s="2"/>
      <c r="K8" s="2"/>
      <c r="L8" s="2"/>
      <c r="M8" s="2"/>
      <c r="N8" s="2"/>
      <c r="O8" s="2"/>
      <c r="P8" s="2"/>
      <c r="Q8" s="2"/>
      <c r="R8" s="2"/>
      <c r="S8" s="2"/>
      <c r="T8" s="2"/>
      <c r="U8" s="2"/>
      <c r="V8" s="2"/>
      <c r="W8" s="2"/>
      <c r="X8" s="2"/>
      <c r="Y8" s="2"/>
      <c r="Z8" s="2"/>
      <c r="AA8" s="28"/>
    </row>
    <row r="9" spans="1:27" ht="15" customHeight="1" x14ac:dyDescent="0.3">
      <c r="A9" s="22"/>
      <c r="B9" s="100" t="s">
        <v>89</v>
      </c>
      <c r="C9" s="98"/>
      <c r="D9" s="98"/>
      <c r="E9" s="98"/>
      <c r="F9" s="99"/>
      <c r="G9" s="24"/>
      <c r="H9" s="2"/>
      <c r="I9" s="2"/>
      <c r="J9" s="2"/>
      <c r="K9" s="2"/>
      <c r="L9" s="2"/>
      <c r="M9" s="2"/>
      <c r="N9" s="2"/>
      <c r="O9" s="2"/>
      <c r="P9" s="2"/>
      <c r="Q9" s="2"/>
      <c r="R9" s="2"/>
      <c r="S9" s="2"/>
      <c r="T9" s="2"/>
      <c r="U9" s="2"/>
      <c r="V9" s="2"/>
      <c r="W9" s="2"/>
      <c r="X9" s="2"/>
      <c r="Y9" s="2"/>
      <c r="Z9" s="2"/>
      <c r="AA9" s="28"/>
    </row>
    <row r="10" spans="1:27" ht="15" customHeight="1" x14ac:dyDescent="0.3">
      <c r="A10" s="22"/>
      <c r="B10" s="101" t="str">
        <f>'Cover Page'!F24</f>
        <v>Confidential</v>
      </c>
      <c r="C10" s="102"/>
      <c r="D10" s="102"/>
      <c r="E10" s="102"/>
      <c r="F10" s="103"/>
      <c r="G10" s="24"/>
      <c r="H10" s="2"/>
      <c r="I10" s="2"/>
      <c r="J10" s="2"/>
      <c r="K10" s="2"/>
      <c r="L10" s="2"/>
      <c r="M10" s="2"/>
      <c r="N10" s="2"/>
      <c r="O10" s="2"/>
      <c r="P10" s="2"/>
      <c r="Q10" s="2"/>
      <c r="R10" s="2"/>
      <c r="S10" s="2"/>
      <c r="T10" s="2"/>
      <c r="U10" s="2"/>
      <c r="V10" s="2"/>
      <c r="W10" s="2"/>
      <c r="X10" s="2"/>
      <c r="Y10" s="2"/>
      <c r="Z10" s="2"/>
      <c r="AA10" s="28"/>
    </row>
    <row r="11" spans="1:27" ht="15" customHeight="1" x14ac:dyDescent="0.3">
      <c r="A11" s="22"/>
      <c r="B11" s="104"/>
      <c r="C11" s="102"/>
      <c r="D11" s="102"/>
      <c r="E11" s="102"/>
      <c r="F11" s="103"/>
      <c r="G11" s="24"/>
      <c r="H11" s="2"/>
      <c r="I11" s="2"/>
      <c r="J11" s="2"/>
      <c r="K11" s="2"/>
      <c r="L11" s="2"/>
      <c r="M11" s="2"/>
      <c r="N11" s="2"/>
      <c r="O11" s="2"/>
      <c r="P11" s="2"/>
      <c r="Q11" s="2"/>
      <c r="R11" s="2"/>
      <c r="S11" s="2"/>
      <c r="T11" s="2"/>
      <c r="U11" s="2"/>
      <c r="V11" s="2"/>
      <c r="W11" s="2"/>
      <c r="X11" s="2"/>
      <c r="Y11" s="2"/>
      <c r="Z11" s="2"/>
      <c r="AA11" s="28"/>
    </row>
    <row r="12" spans="1:27" ht="15" customHeight="1" x14ac:dyDescent="0.3">
      <c r="A12" s="22"/>
      <c r="B12" s="100" t="s">
        <v>90</v>
      </c>
      <c r="C12" s="98"/>
      <c r="D12" s="98"/>
      <c r="E12" s="98"/>
      <c r="F12" s="99"/>
      <c r="G12" s="24"/>
      <c r="H12" s="2"/>
      <c r="I12" s="2"/>
      <c r="J12" s="2"/>
      <c r="K12" s="2"/>
      <c r="L12" s="2"/>
      <c r="M12" s="2"/>
      <c r="N12" s="2"/>
      <c r="O12" s="2"/>
      <c r="P12" s="2"/>
      <c r="Q12" s="2"/>
      <c r="R12" s="2"/>
      <c r="S12" s="2"/>
      <c r="T12" s="2"/>
      <c r="U12" s="2"/>
      <c r="V12" s="2"/>
      <c r="W12" s="2"/>
      <c r="X12" s="2"/>
      <c r="Y12" s="2"/>
      <c r="Z12" s="2"/>
      <c r="AA12" s="28"/>
    </row>
    <row r="13" spans="1:27" ht="15" customHeight="1" x14ac:dyDescent="0.3">
      <c r="A13" s="22"/>
      <c r="B13" s="69" t="s">
        <v>91</v>
      </c>
      <c r="C13" s="70" t="s">
        <v>92</v>
      </c>
      <c r="D13" s="71" t="s">
        <v>93</v>
      </c>
      <c r="E13" s="94" t="s">
        <v>94</v>
      </c>
      <c r="F13" s="95"/>
      <c r="G13" s="24"/>
      <c r="H13" s="2"/>
      <c r="I13" s="2"/>
      <c r="J13" s="2"/>
      <c r="K13" s="2"/>
      <c r="L13" s="2"/>
      <c r="M13" s="2"/>
      <c r="N13" s="2"/>
      <c r="O13" s="2"/>
      <c r="P13" s="2"/>
      <c r="Q13" s="2"/>
      <c r="R13" s="2"/>
      <c r="S13" s="2"/>
      <c r="T13" s="2"/>
      <c r="U13" s="2"/>
      <c r="V13" s="2"/>
      <c r="W13" s="2"/>
      <c r="X13" s="2"/>
      <c r="Y13" s="2"/>
      <c r="Z13" s="2"/>
      <c r="AA13" s="28"/>
    </row>
    <row r="14" spans="1:27" ht="15" customHeight="1" x14ac:dyDescent="0.3">
      <c r="A14" s="22"/>
      <c r="B14" s="42">
        <v>1</v>
      </c>
      <c r="C14" s="63">
        <v>46207</v>
      </c>
      <c r="D14" s="46" t="s">
        <v>95</v>
      </c>
      <c r="E14" s="96" t="s">
        <v>96</v>
      </c>
      <c r="F14" s="95"/>
      <c r="G14" s="24"/>
      <c r="H14" s="2"/>
      <c r="I14" s="2"/>
      <c r="J14" s="2"/>
      <c r="K14" s="2"/>
      <c r="L14" s="2"/>
      <c r="M14" s="2"/>
      <c r="N14" s="2"/>
      <c r="O14" s="2"/>
      <c r="P14" s="2"/>
      <c r="Q14" s="2"/>
      <c r="R14" s="2"/>
      <c r="S14" s="2"/>
      <c r="T14" s="2"/>
      <c r="U14" s="2"/>
      <c r="V14" s="2"/>
      <c r="W14" s="2"/>
      <c r="X14" s="2"/>
      <c r="Y14" s="2"/>
      <c r="Z14" s="2"/>
      <c r="AA14" s="28"/>
    </row>
    <row r="15" spans="1:27" ht="15" customHeight="1" x14ac:dyDescent="0.3">
      <c r="A15" s="22"/>
      <c r="B15" s="42"/>
      <c r="C15" s="63"/>
      <c r="D15" s="46"/>
      <c r="E15" s="96"/>
      <c r="F15" s="95"/>
      <c r="G15" s="24"/>
      <c r="H15" s="2"/>
      <c r="I15" s="2"/>
      <c r="J15" s="2"/>
      <c r="K15" s="2"/>
      <c r="L15" s="2"/>
      <c r="M15" s="2"/>
      <c r="N15" s="2"/>
      <c r="O15" s="2"/>
      <c r="P15" s="2"/>
      <c r="Q15" s="2"/>
      <c r="R15" s="2"/>
      <c r="S15" s="2"/>
      <c r="T15" s="2"/>
      <c r="U15" s="2"/>
      <c r="V15" s="2"/>
      <c r="W15" s="2"/>
      <c r="X15" s="2"/>
      <c r="Y15" s="2"/>
      <c r="Z15" s="2"/>
      <c r="AA15" s="28"/>
    </row>
    <row r="16" spans="1:27" ht="15" customHeight="1" x14ac:dyDescent="0.3">
      <c r="A16" s="22"/>
      <c r="B16" s="42"/>
      <c r="C16" s="63"/>
      <c r="D16" s="46"/>
      <c r="E16" s="96"/>
      <c r="F16" s="95"/>
      <c r="G16" s="24"/>
      <c r="H16" s="2"/>
      <c r="I16" s="2"/>
      <c r="J16" s="2"/>
      <c r="K16" s="2"/>
      <c r="L16" s="2"/>
      <c r="M16" s="2"/>
      <c r="N16" s="2"/>
      <c r="O16" s="2"/>
      <c r="P16" s="2"/>
      <c r="Q16" s="2"/>
      <c r="R16" s="2"/>
      <c r="S16" s="2"/>
      <c r="T16" s="2"/>
      <c r="U16" s="2"/>
      <c r="V16" s="2"/>
      <c r="W16" s="2"/>
      <c r="X16" s="2"/>
      <c r="Y16" s="2"/>
      <c r="Z16" s="2"/>
      <c r="AA16" s="28"/>
    </row>
    <row r="17" spans="1:27" ht="15" customHeight="1" x14ac:dyDescent="0.3">
      <c r="A17" s="22"/>
      <c r="B17" s="42"/>
      <c r="C17" s="63"/>
      <c r="D17" s="46"/>
      <c r="E17" s="96"/>
      <c r="F17" s="95"/>
      <c r="G17" s="24"/>
      <c r="H17" s="2"/>
      <c r="I17" s="2"/>
      <c r="J17" s="2"/>
      <c r="K17" s="2"/>
      <c r="L17" s="2"/>
      <c r="M17" s="2"/>
      <c r="N17" s="2"/>
      <c r="O17" s="2"/>
      <c r="P17" s="2"/>
      <c r="Q17" s="2"/>
      <c r="R17" s="2"/>
      <c r="S17" s="2"/>
      <c r="T17" s="2"/>
      <c r="U17" s="2"/>
      <c r="V17" s="2"/>
      <c r="W17" s="2"/>
      <c r="X17" s="2"/>
      <c r="Y17" s="2"/>
      <c r="Z17" s="2"/>
      <c r="AA17" s="28"/>
    </row>
    <row r="18" spans="1:27" ht="15" customHeight="1" x14ac:dyDescent="0.3">
      <c r="A18" s="22"/>
      <c r="B18" s="23"/>
      <c r="C18" s="23"/>
      <c r="D18" s="92"/>
      <c r="E18" s="93"/>
      <c r="F18" s="93"/>
      <c r="G18" s="24"/>
      <c r="H18" s="2"/>
      <c r="I18" s="2"/>
      <c r="J18" s="2"/>
      <c r="K18" s="2"/>
      <c r="L18" s="2"/>
      <c r="M18" s="2"/>
      <c r="N18" s="2"/>
      <c r="O18" s="2"/>
      <c r="P18" s="2"/>
      <c r="Q18" s="2"/>
      <c r="R18" s="2"/>
      <c r="S18" s="2"/>
      <c r="T18" s="2"/>
      <c r="U18" s="2"/>
      <c r="V18" s="2"/>
      <c r="W18" s="2"/>
      <c r="X18" s="2"/>
      <c r="Y18" s="2"/>
      <c r="Z18" s="2"/>
      <c r="AA18" s="28"/>
    </row>
    <row r="19" spans="1:27" ht="15" customHeight="1" x14ac:dyDescent="0.3">
      <c r="A19" s="25"/>
      <c r="B19" s="26"/>
      <c r="C19" s="26"/>
      <c r="D19" s="26"/>
      <c r="E19" s="26"/>
      <c r="F19" s="26"/>
      <c r="G19" s="27"/>
      <c r="H19" s="2"/>
      <c r="I19" s="2"/>
      <c r="J19" s="2"/>
      <c r="K19" s="2"/>
      <c r="L19" s="2"/>
      <c r="M19" s="2"/>
      <c r="N19" s="2"/>
      <c r="O19" s="2"/>
      <c r="P19" s="2"/>
      <c r="Q19" s="2"/>
      <c r="R19" s="2"/>
      <c r="S19" s="2"/>
      <c r="T19" s="2"/>
      <c r="U19" s="2"/>
      <c r="V19" s="2"/>
      <c r="W19" s="2"/>
      <c r="X19" s="2"/>
      <c r="Y19" s="2"/>
      <c r="Z19" s="2"/>
      <c r="AA19" s="28"/>
    </row>
    <row r="20" spans="1:27" ht="14.4"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8"/>
    </row>
    <row r="21" spans="1:27" ht="14.4"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8"/>
    </row>
    <row r="22" spans="1:27" ht="14.4"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8"/>
    </row>
    <row r="23" spans="1:27" ht="14.4"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8"/>
    </row>
    <row r="24" spans="1:27" ht="14.4"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8"/>
    </row>
    <row r="25" spans="1:27" ht="14.4"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8"/>
    </row>
    <row r="26" spans="1:27" ht="14.4"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8"/>
    </row>
    <row r="27" spans="1:27" ht="14.4"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8"/>
    </row>
    <row r="28" spans="1:27" ht="14.4"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8"/>
    </row>
    <row r="29" spans="1:27" ht="14.4"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8"/>
    </row>
    <row r="30" spans="1:27" ht="14.4"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8"/>
    </row>
    <row r="31" spans="1:27" ht="14.4"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8"/>
    </row>
    <row r="32" spans="1:27" ht="14.4"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8"/>
    </row>
    <row r="33" spans="1:27" ht="14.4"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8"/>
    </row>
    <row r="34" spans="1:27" ht="14.4"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8"/>
    </row>
    <row r="35" spans="1:27" ht="14.4"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8"/>
    </row>
    <row r="36" spans="1:27" ht="14.4"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8"/>
    </row>
    <row r="37" spans="1:27" ht="14.4"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8"/>
    </row>
    <row r="38" spans="1:27" ht="14.4"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8"/>
    </row>
    <row r="39" spans="1:27" ht="14.4"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8"/>
    </row>
    <row r="40" spans="1:27" ht="14.4"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8"/>
    </row>
    <row r="41" spans="1:27" ht="14.4"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8"/>
    </row>
    <row r="42" spans="1:27" ht="14.4"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8"/>
    </row>
    <row r="43" spans="1:27" ht="14.4"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8"/>
    </row>
    <row r="44" spans="1:27" ht="14.4"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8"/>
    </row>
    <row r="45" spans="1:27" ht="14.4"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8"/>
    </row>
    <row r="46" spans="1:27" ht="14.4"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8"/>
    </row>
    <row r="47" spans="1:27" ht="14.4"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8"/>
    </row>
    <row r="48" spans="1:27" ht="14.4"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8"/>
    </row>
    <row r="49" spans="1:27" ht="14.4"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8"/>
    </row>
    <row r="50" spans="1:27" ht="14.4"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8"/>
    </row>
    <row r="51" spans="1:27" ht="14.4"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8"/>
    </row>
    <row r="52" spans="1:27" ht="14.4"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8"/>
    </row>
    <row r="53" spans="1:27" ht="14.4"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8"/>
    </row>
    <row r="54" spans="1:27" ht="14.4"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8"/>
    </row>
    <row r="55" spans="1:27" ht="14.4"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8"/>
    </row>
    <row r="56" spans="1:27" ht="14.4"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8"/>
    </row>
    <row r="57" spans="1:27" ht="14.4"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8"/>
    </row>
    <row r="58" spans="1:27" ht="14.4"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8"/>
    </row>
    <row r="59" spans="1:27" ht="14.4"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8"/>
    </row>
    <row r="60" spans="1:27" ht="14.4"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8"/>
    </row>
    <row r="61" spans="1:27" ht="14.4"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8"/>
    </row>
    <row r="62" spans="1:27" ht="14.4"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8"/>
    </row>
    <row r="63" spans="1:27" ht="14.4"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8"/>
    </row>
    <row r="64" spans="1:27" ht="14.4"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8"/>
    </row>
    <row r="65" spans="1:27" ht="14.4"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8"/>
    </row>
    <row r="66" spans="1:27" ht="14.4"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8"/>
    </row>
    <row r="67" spans="1:27" ht="14.4"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8"/>
    </row>
    <row r="68" spans="1:27" ht="14.4"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8"/>
    </row>
    <row r="69" spans="1:27" ht="14.4"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8"/>
    </row>
    <row r="70" spans="1:27" ht="14.4"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8"/>
    </row>
    <row r="71" spans="1:27" ht="14.4"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8"/>
    </row>
    <row r="72" spans="1:27" ht="14.4"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8"/>
    </row>
    <row r="73" spans="1:27" ht="14.4"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8"/>
    </row>
    <row r="74" spans="1:27" ht="14.4"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8"/>
    </row>
    <row r="75" spans="1:27" ht="14.4"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8"/>
    </row>
    <row r="76" spans="1:27" ht="14.4"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8"/>
    </row>
    <row r="77" spans="1:27" ht="14.4"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8"/>
    </row>
    <row r="78" spans="1:27" ht="14.4"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8"/>
    </row>
    <row r="79" spans="1:27" ht="14.4"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8"/>
    </row>
    <row r="80" spans="1:27" ht="14.4"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8"/>
    </row>
    <row r="81" spans="1:27" ht="14.4"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8"/>
    </row>
    <row r="82" spans="1:27" ht="14.4"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8"/>
    </row>
    <row r="83" spans="1:27" ht="14.4"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8"/>
    </row>
    <row r="84" spans="1:27" ht="14.4"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8"/>
    </row>
    <row r="85" spans="1:27" ht="14.4"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8"/>
    </row>
    <row r="86" spans="1:27" ht="14.4"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8"/>
    </row>
    <row r="87" spans="1:27" ht="14.4"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8"/>
    </row>
    <row r="88" spans="1:27" ht="14.4"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8"/>
    </row>
    <row r="89" spans="1:27" ht="14.4"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8"/>
    </row>
    <row r="90" spans="1:27" ht="14.4"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8"/>
    </row>
    <row r="91" spans="1:27" ht="14.4"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8"/>
    </row>
    <row r="92" spans="1:27" ht="14.4"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8"/>
    </row>
    <row r="93" spans="1:27" ht="14.4"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8"/>
    </row>
    <row r="94" spans="1:27" ht="14.4"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8"/>
    </row>
    <row r="95" spans="1:27" ht="14.4"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8"/>
    </row>
    <row r="96" spans="1:27" ht="14.4"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8"/>
    </row>
    <row r="97" spans="1:27" ht="14.4"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8"/>
    </row>
    <row r="98" spans="1:27" ht="14.4"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8"/>
    </row>
    <row r="99" spans="1:27" ht="14.4"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8"/>
    </row>
    <row r="100" spans="1:27" ht="14.4"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8"/>
    </row>
    <row r="101" spans="1:27" ht="14.4"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8"/>
    </row>
    <row r="102" spans="1:27" ht="14.4"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8"/>
    </row>
    <row r="103" spans="1:27" ht="14.4"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8"/>
    </row>
    <row r="104" spans="1:27" ht="14.4"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8"/>
    </row>
    <row r="105" spans="1:27" ht="14.4"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8"/>
    </row>
    <row r="106" spans="1:27" ht="14.4"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8"/>
    </row>
    <row r="107" spans="1:27" ht="14.4"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8"/>
    </row>
    <row r="108" spans="1:27" ht="14.4"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8"/>
    </row>
    <row r="109" spans="1:27" ht="14.4"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8"/>
    </row>
    <row r="110" spans="1:27" ht="14.4"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8"/>
    </row>
    <row r="111" spans="1:27" ht="14.4"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8"/>
    </row>
    <row r="112" spans="1:27" ht="14.4"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8"/>
    </row>
    <row r="113" spans="1:27" ht="14.4"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8"/>
    </row>
    <row r="114" spans="1:27" ht="14.4"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8"/>
    </row>
    <row r="115" spans="1:27" ht="14.4"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8"/>
    </row>
    <row r="116" spans="1:27" ht="14.4"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8"/>
    </row>
    <row r="117" spans="1:27" ht="14.4"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8"/>
    </row>
    <row r="118" spans="1:27" ht="14.4"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8"/>
    </row>
    <row r="119" spans="1:27" ht="14.4"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8"/>
    </row>
    <row r="120" spans="1:27" ht="14.4"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8"/>
    </row>
    <row r="121" spans="1:27" ht="14.4"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8"/>
    </row>
    <row r="122" spans="1:27" ht="14.4"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8"/>
    </row>
    <row r="123" spans="1:27" ht="14.4"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8"/>
    </row>
    <row r="124" spans="1:27" ht="14.4"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8"/>
    </row>
    <row r="125" spans="1:27" ht="14.4"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8"/>
    </row>
    <row r="126" spans="1:27" ht="14.4"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8"/>
    </row>
    <row r="127" spans="1:27" ht="14.4"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8"/>
    </row>
    <row r="128" spans="1:27" ht="14.4"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8"/>
    </row>
    <row r="129" spans="1:27" ht="14.4"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8"/>
    </row>
    <row r="130" spans="1:27" ht="14.4"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8"/>
    </row>
    <row r="131" spans="1:27" ht="14.4"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8"/>
    </row>
    <row r="132" spans="1:27" ht="14.4"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8"/>
    </row>
    <row r="133" spans="1:27" ht="14.4"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8"/>
    </row>
    <row r="134" spans="1:27" ht="14.4"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8"/>
    </row>
    <row r="135" spans="1:27" ht="14.4"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8"/>
    </row>
    <row r="136" spans="1:27" ht="14.4"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8"/>
    </row>
    <row r="137" spans="1:27" ht="14.4"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8"/>
    </row>
    <row r="138" spans="1:27" ht="14.4"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8"/>
    </row>
    <row r="139" spans="1:27" ht="14.4"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8"/>
    </row>
    <row r="140" spans="1:27" ht="14.4"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8"/>
    </row>
    <row r="141" spans="1:27" ht="14.4"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8"/>
    </row>
    <row r="142" spans="1:27" ht="14.4"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8"/>
    </row>
    <row r="143" spans="1:27" ht="14.4"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8"/>
    </row>
    <row r="144" spans="1:27" ht="14.4"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8"/>
    </row>
    <row r="145" spans="1:27" ht="14.4"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8"/>
    </row>
    <row r="146" spans="1:27" ht="14.4"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8"/>
    </row>
    <row r="147" spans="1:27" ht="14.4"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8"/>
    </row>
    <row r="148" spans="1:27" ht="14.4"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8"/>
    </row>
    <row r="149" spans="1:27" ht="14.4"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8"/>
    </row>
    <row r="150" spans="1:27" ht="14.4"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8"/>
    </row>
    <row r="151" spans="1:27" ht="14.4"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8"/>
    </row>
    <row r="152" spans="1:27" ht="14.4"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8"/>
    </row>
    <row r="153" spans="1:27" ht="14.4"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8"/>
    </row>
    <row r="154" spans="1:27" ht="14.4"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8"/>
    </row>
    <row r="155" spans="1:27" ht="14.4"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8"/>
    </row>
    <row r="156" spans="1:27" ht="14.4"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8"/>
    </row>
    <row r="157" spans="1:27" ht="14.4"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8"/>
    </row>
    <row r="158" spans="1:27" ht="14.4"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8"/>
    </row>
    <row r="159" spans="1:27" ht="14.4"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8"/>
    </row>
    <row r="160" spans="1:27" ht="14.4"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8"/>
    </row>
    <row r="161" spans="1:27" ht="14.4"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8"/>
    </row>
    <row r="162" spans="1:27" ht="14.4"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8"/>
    </row>
    <row r="163" spans="1:27" ht="14.4"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8"/>
    </row>
    <row r="164" spans="1:27" ht="14.4"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8"/>
    </row>
    <row r="165" spans="1:27" ht="14.4"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8"/>
    </row>
    <row r="166" spans="1:27" ht="14.4"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8"/>
    </row>
    <row r="167" spans="1:27" ht="14.4"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8"/>
    </row>
    <row r="168" spans="1:27" ht="14.4"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8"/>
    </row>
    <row r="169" spans="1:27" ht="14.4"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8"/>
    </row>
    <row r="170" spans="1:27" ht="14.4"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8"/>
    </row>
    <row r="171" spans="1:27" ht="14.4"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8"/>
    </row>
    <row r="172" spans="1:27" ht="14.4"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8"/>
    </row>
    <row r="173" spans="1:27" ht="14.4"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8"/>
    </row>
    <row r="174" spans="1:27" ht="14.4"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8"/>
    </row>
    <row r="175" spans="1:27" ht="14.4"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8"/>
    </row>
    <row r="176" spans="1:27" ht="14.4"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8"/>
    </row>
    <row r="177" spans="1:27" ht="14.4"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8"/>
    </row>
    <row r="178" spans="1:27" ht="14.4"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8"/>
    </row>
    <row r="179" spans="1:27" ht="14.4"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8"/>
    </row>
    <row r="180" spans="1:27" ht="14.4"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8"/>
    </row>
    <row r="181" spans="1:27" ht="14.4"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8"/>
    </row>
    <row r="182" spans="1:27" ht="14.4"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8"/>
    </row>
    <row r="183" spans="1:27" ht="14.4"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8"/>
    </row>
    <row r="184" spans="1:27" ht="14.4"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8"/>
    </row>
    <row r="185" spans="1:27" ht="14.4"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8"/>
    </row>
    <row r="186" spans="1:27" ht="14.4"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8"/>
    </row>
    <row r="187" spans="1:27" ht="14.4"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8"/>
    </row>
    <row r="188" spans="1:27" ht="14.4"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8"/>
    </row>
    <row r="189" spans="1:27" ht="14.4"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8"/>
    </row>
    <row r="190" spans="1:27" ht="14.4"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8"/>
    </row>
    <row r="191" spans="1:27" ht="14.4"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8"/>
    </row>
    <row r="192" spans="1:27" ht="14.4"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8"/>
    </row>
    <row r="193" spans="1:27" ht="14.4"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8"/>
    </row>
    <row r="194" spans="1:27" ht="14.4"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8"/>
    </row>
    <row r="195" spans="1:27" ht="14.4"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8"/>
    </row>
    <row r="196" spans="1:27" ht="14.4"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8"/>
    </row>
    <row r="197" spans="1:27" ht="14.4"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8"/>
    </row>
    <row r="198" spans="1:27" ht="14.4"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8"/>
    </row>
    <row r="199" spans="1:27" ht="14.4"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8"/>
    </row>
    <row r="200" spans="1:27" ht="14.4"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8"/>
    </row>
    <row r="201" spans="1:27" ht="14.4"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8"/>
    </row>
    <row r="202" spans="1:27" ht="14.4"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8"/>
    </row>
    <row r="203" spans="1:27" ht="14.4"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8"/>
    </row>
    <row r="204" spans="1:27" ht="14.4"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8"/>
    </row>
    <row r="205" spans="1:27" ht="14.4"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8"/>
    </row>
    <row r="206" spans="1:27" ht="14.4"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8"/>
    </row>
    <row r="207" spans="1:27" ht="14.4"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8"/>
    </row>
    <row r="208" spans="1:27" ht="14.4"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8"/>
    </row>
    <row r="209" spans="1:27" ht="14.4"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8"/>
    </row>
    <row r="210" spans="1:27" ht="14.4"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8"/>
    </row>
    <row r="211" spans="1:27" ht="14.4"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8"/>
    </row>
    <row r="212" spans="1:27" ht="14.4"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8"/>
    </row>
    <row r="213" spans="1:27" ht="14.4"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8"/>
    </row>
    <row r="214" spans="1:27" ht="14.4" customHeight="1" x14ac:dyDescent="0.3">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row>
    <row r="215" spans="1:27" ht="14.4" customHeight="1" x14ac:dyDescent="0.3">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row>
    <row r="216" spans="1:27" ht="14.4" customHeight="1" x14ac:dyDescent="0.3">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row>
    <row r="217" spans="1:27" ht="14.4" customHeight="1" x14ac:dyDescent="0.3">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row>
    <row r="218" spans="1:27" ht="14.4" customHeight="1" x14ac:dyDescent="0.3">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row>
    <row r="219" spans="1:27" ht="14.4" customHeight="1" x14ac:dyDescent="0.3">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row>
    <row r="220" spans="1:27" ht="14.4" customHeight="1" x14ac:dyDescent="0.3">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row>
    <row r="221" spans="1:27" ht="14.4" customHeight="1" x14ac:dyDescent="0.3">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row>
    <row r="222" spans="1:27" ht="14.4" customHeight="1" x14ac:dyDescent="0.3">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row>
    <row r="223" spans="1:27" ht="14.4" customHeight="1" x14ac:dyDescent="0.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row>
    <row r="224" spans="1:27" ht="14.4" customHeight="1" x14ac:dyDescent="0.3">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row>
    <row r="225" spans="1:27" ht="14.4" customHeight="1" x14ac:dyDescent="0.3">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row>
    <row r="226" spans="1:27" ht="14.4" customHeight="1" x14ac:dyDescent="0.3">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row>
    <row r="227" spans="1:27" ht="14.4" customHeight="1" x14ac:dyDescent="0.3">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row>
    <row r="228" spans="1:27" ht="14.4" customHeight="1" x14ac:dyDescent="0.3">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row>
    <row r="229" spans="1:27" ht="14.4" customHeight="1" x14ac:dyDescent="0.3">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row>
    <row r="230" spans="1:27" ht="14.4" customHeight="1" x14ac:dyDescent="0.3">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row>
    <row r="231" spans="1:27" ht="14.4" customHeight="1" x14ac:dyDescent="0.3">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row>
    <row r="232" spans="1:27" ht="14.4" customHeight="1" x14ac:dyDescent="0.3">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spans="1:27" ht="14.4" customHeight="1" x14ac:dyDescent="0.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spans="1:27" ht="14.4" customHeight="1" x14ac:dyDescent="0.3">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spans="1:27" ht="14.4" customHeight="1" x14ac:dyDescent="0.3">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spans="1:27" ht="14.4" customHeight="1" x14ac:dyDescent="0.3">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spans="1:27" ht="14.4" customHeight="1" x14ac:dyDescent="0.3">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spans="1:27" ht="14.4" customHeight="1" x14ac:dyDescent="0.3">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spans="1:27" ht="14.4" customHeight="1" x14ac:dyDescent="0.3">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spans="1:27" ht="14.4" customHeight="1" x14ac:dyDescent="0.3">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spans="1:27" ht="14.4" customHeight="1" x14ac:dyDescent="0.3">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spans="1:27" ht="14.4" customHeight="1" x14ac:dyDescent="0.3">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spans="1:27" ht="14.4" customHeight="1" x14ac:dyDescent="0.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spans="1:27" ht="14.4" customHeight="1" x14ac:dyDescent="0.3">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spans="1:27" ht="14.4" customHeight="1" x14ac:dyDescent="0.3">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spans="1:27" ht="14.4" customHeight="1" x14ac:dyDescent="0.3">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spans="1:27" ht="14.4" customHeight="1" x14ac:dyDescent="0.3">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spans="1:27" ht="14.4" customHeight="1" x14ac:dyDescent="0.3">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spans="1:27" ht="14.4" customHeight="1" x14ac:dyDescent="0.3">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spans="1:27" ht="14.4" customHeight="1" x14ac:dyDescent="0.3">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spans="1:27" ht="14.4" customHeight="1" x14ac:dyDescent="0.3">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spans="1:27" ht="14.4" customHeight="1" x14ac:dyDescent="0.3">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spans="1:27" ht="14.4" customHeight="1" x14ac:dyDescent="0.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spans="1:27" ht="14.4" customHeight="1" x14ac:dyDescent="0.3">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spans="1:27" ht="14.4" customHeight="1" x14ac:dyDescent="0.3">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spans="1:27" ht="14.4" customHeight="1" x14ac:dyDescent="0.3">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spans="1:27" ht="14.4" customHeight="1" x14ac:dyDescent="0.3">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spans="1:27" ht="14.4" customHeight="1" x14ac:dyDescent="0.3">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spans="1:27" ht="14.4" customHeight="1" x14ac:dyDescent="0.3">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spans="1:27" ht="14.4" customHeight="1" x14ac:dyDescent="0.3">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spans="1:27" ht="14.4" customHeight="1" x14ac:dyDescent="0.3">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spans="1:27" ht="14.4" customHeight="1" x14ac:dyDescent="0.3">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spans="1:27" ht="14.4" customHeight="1" x14ac:dyDescent="0.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spans="1:27" ht="14.4" customHeight="1" x14ac:dyDescent="0.3">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spans="1:27" ht="14.4" customHeight="1" x14ac:dyDescent="0.3">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spans="1:27" ht="14.4" customHeight="1" x14ac:dyDescent="0.3">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spans="1:27" ht="14.4" customHeight="1" x14ac:dyDescent="0.3">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spans="1:27" ht="14.4" customHeight="1" x14ac:dyDescent="0.3">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spans="1:27" ht="14.4" customHeight="1" x14ac:dyDescent="0.3">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spans="1:27" ht="14.4" customHeight="1" x14ac:dyDescent="0.3">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spans="1:27" ht="14.4" customHeight="1" x14ac:dyDescent="0.3">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spans="1:27" ht="14.4" customHeight="1" x14ac:dyDescent="0.3">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spans="1:27" ht="14.4" customHeight="1" x14ac:dyDescent="0.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spans="1:27" ht="14.4" customHeight="1" x14ac:dyDescent="0.3">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spans="1:27" ht="14.4" customHeight="1" x14ac:dyDescent="0.3">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spans="1:27" ht="14.4" customHeight="1" x14ac:dyDescent="0.3">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spans="1:27" ht="14.4" customHeight="1" x14ac:dyDescent="0.3">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spans="1:27" ht="14.4" customHeight="1" x14ac:dyDescent="0.3">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spans="1:27" ht="14.4" customHeight="1" x14ac:dyDescent="0.3">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spans="1:27" ht="14.4" customHeight="1" x14ac:dyDescent="0.3">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spans="1:27" ht="14.4" customHeight="1" x14ac:dyDescent="0.3">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spans="1:27" ht="14.4" customHeight="1" x14ac:dyDescent="0.3">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spans="1:27" ht="14.4" customHeight="1" x14ac:dyDescent="0.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spans="1:27" ht="14.4" customHeight="1" x14ac:dyDescent="0.3">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spans="1:27" ht="14.4" customHeight="1" x14ac:dyDescent="0.3">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spans="1:27" ht="14.4" customHeight="1" x14ac:dyDescent="0.3">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spans="1:27" ht="14.4" customHeight="1" x14ac:dyDescent="0.3">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spans="1:27" ht="14.4" customHeight="1" x14ac:dyDescent="0.3">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spans="1:27" ht="14.4" customHeight="1" x14ac:dyDescent="0.3">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spans="1:27" ht="14.4" customHeight="1" x14ac:dyDescent="0.3">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spans="1:27" ht="14.4" customHeight="1" x14ac:dyDescent="0.3">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spans="1:27" ht="14.4" customHeight="1" x14ac:dyDescent="0.3">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spans="1:27" ht="14.4" customHeight="1" x14ac:dyDescent="0.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spans="1:27" ht="14.4" customHeight="1" x14ac:dyDescent="0.3">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spans="1:27" ht="14.4" customHeight="1" x14ac:dyDescent="0.3">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spans="1:27" ht="14.4" customHeight="1" x14ac:dyDescent="0.3">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spans="1:27" ht="14.4" customHeight="1" x14ac:dyDescent="0.3">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spans="1:27" ht="14.4" customHeight="1" x14ac:dyDescent="0.3">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spans="1:27" ht="14.4" customHeight="1" x14ac:dyDescent="0.3">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spans="1:27" ht="14.4" customHeight="1" x14ac:dyDescent="0.3">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spans="1:27" ht="14.4" customHeight="1" x14ac:dyDescent="0.3">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spans="1:27" ht="14.4" customHeight="1" x14ac:dyDescent="0.3">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spans="1:27" ht="14.4" customHeight="1" x14ac:dyDescent="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spans="1:27" ht="14.4" customHeight="1" x14ac:dyDescent="0.3">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spans="1:27" ht="14.4" customHeight="1" x14ac:dyDescent="0.3">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spans="1:27" ht="14.4" customHeight="1" x14ac:dyDescent="0.3">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spans="1:27" ht="14.4" customHeight="1" x14ac:dyDescent="0.3">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spans="1:27" ht="14.4" customHeight="1" x14ac:dyDescent="0.3">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spans="1:27" ht="14.4" customHeight="1" x14ac:dyDescent="0.3">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spans="1:27" ht="14.4" customHeight="1" x14ac:dyDescent="0.3">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spans="1:27" ht="14.4" customHeight="1" x14ac:dyDescent="0.3">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spans="1:27" ht="14.4" customHeight="1" x14ac:dyDescent="0.3">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spans="1:27" ht="14.4" customHeight="1" x14ac:dyDescent="0.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spans="1:27" ht="14.4" customHeight="1" x14ac:dyDescent="0.3">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spans="1:27" ht="14.4" customHeight="1" x14ac:dyDescent="0.3">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spans="1:27" ht="14.4" customHeight="1" x14ac:dyDescent="0.3">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spans="1:27" ht="14.4" customHeight="1" x14ac:dyDescent="0.3">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spans="1:27" ht="14.4" customHeight="1" x14ac:dyDescent="0.3">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spans="1:27" ht="14.4" customHeight="1" x14ac:dyDescent="0.3">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spans="1:27" ht="14.4" customHeight="1" x14ac:dyDescent="0.3">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spans="1:27" ht="14.4" customHeight="1" x14ac:dyDescent="0.3">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spans="1:27" ht="14.4" customHeight="1" x14ac:dyDescent="0.3">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spans="1:27" ht="14.4" customHeight="1" x14ac:dyDescent="0.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spans="1:27" ht="14.4" customHeight="1" x14ac:dyDescent="0.3">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spans="1:27" ht="14.4" customHeight="1" x14ac:dyDescent="0.3">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spans="1:27" ht="14.4" customHeight="1" x14ac:dyDescent="0.3">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spans="1:27" ht="14.4" customHeight="1" x14ac:dyDescent="0.3">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spans="1:27" ht="14.4" customHeight="1" x14ac:dyDescent="0.3">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spans="1:27" ht="14.4" customHeight="1" x14ac:dyDescent="0.3">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spans="1:27" ht="14.4" customHeight="1" x14ac:dyDescent="0.3">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spans="1:27" ht="14.4" customHeight="1" x14ac:dyDescent="0.3">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spans="1:27" ht="14.4" customHeight="1" x14ac:dyDescent="0.3">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spans="1:27" ht="14.4" customHeight="1" x14ac:dyDescent="0.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spans="1:27" ht="14.4" customHeight="1" x14ac:dyDescent="0.3">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spans="1:27" ht="14.4" customHeight="1" x14ac:dyDescent="0.3">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spans="1:27" ht="14.4" customHeight="1" x14ac:dyDescent="0.3">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spans="1:27" ht="14.4" customHeight="1" x14ac:dyDescent="0.3">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spans="1:27" ht="14.4" customHeight="1" x14ac:dyDescent="0.3">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spans="1:27" ht="14.4" customHeight="1" x14ac:dyDescent="0.3">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spans="1:27" ht="14.4" customHeight="1" x14ac:dyDescent="0.3">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spans="1:27" ht="14.4" customHeight="1" x14ac:dyDescent="0.3">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spans="1:27" ht="14.4" customHeight="1" x14ac:dyDescent="0.3">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spans="1:27" ht="14.4" customHeight="1" x14ac:dyDescent="0.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spans="1:27" ht="14.4" customHeight="1" x14ac:dyDescent="0.3">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spans="1:27" ht="14.4" customHeight="1" x14ac:dyDescent="0.3">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spans="1:27" ht="14.4" customHeight="1" x14ac:dyDescent="0.3">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spans="1:27" ht="14.4" customHeight="1" x14ac:dyDescent="0.3">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spans="1:27" ht="14.4" customHeight="1" x14ac:dyDescent="0.3">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spans="1:27" ht="14.4" customHeight="1" x14ac:dyDescent="0.3">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spans="1:27" ht="14.4" customHeight="1" x14ac:dyDescent="0.3">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spans="1:27" ht="14.4" customHeight="1" x14ac:dyDescent="0.3">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spans="1:27" ht="14.4" customHeight="1" x14ac:dyDescent="0.3">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spans="1:27" ht="14.4" customHeight="1" x14ac:dyDescent="0.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spans="1:27" ht="14.4" customHeight="1" x14ac:dyDescent="0.3">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spans="1:27" ht="14.4" customHeight="1" x14ac:dyDescent="0.3">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spans="1:27" ht="14.4" customHeight="1" x14ac:dyDescent="0.3">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spans="1:27" ht="14.4" customHeight="1" x14ac:dyDescent="0.3">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spans="1:27" ht="14.4" customHeight="1" x14ac:dyDescent="0.3">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spans="1:27" ht="14.4" customHeight="1" x14ac:dyDescent="0.3">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spans="1:27" ht="14.4" customHeight="1" x14ac:dyDescent="0.3">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spans="1:27" ht="14.4" customHeight="1" x14ac:dyDescent="0.3">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spans="1:27" ht="14.4" customHeight="1" x14ac:dyDescent="0.3">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spans="1:27" ht="14.4" customHeight="1" x14ac:dyDescent="0.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spans="1:27" ht="14.4" customHeight="1" x14ac:dyDescent="0.3">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spans="1:27" ht="14.4" customHeight="1" x14ac:dyDescent="0.3">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spans="1:27" ht="14.4" customHeight="1" x14ac:dyDescent="0.3">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spans="1:27" ht="14.4" customHeight="1" x14ac:dyDescent="0.3">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spans="1:27" ht="14.4" customHeight="1" x14ac:dyDescent="0.3">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spans="1:27" ht="14.4" customHeight="1" x14ac:dyDescent="0.3">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spans="1:27" ht="14.4" customHeight="1" x14ac:dyDescent="0.3">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spans="1:27" ht="14.4" customHeight="1" x14ac:dyDescent="0.3">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spans="1:27" ht="14.4" customHeight="1" x14ac:dyDescent="0.3">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spans="1:27" ht="14.4" customHeight="1" x14ac:dyDescent="0.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spans="1:27" ht="14.4" customHeight="1" x14ac:dyDescent="0.3">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spans="1:27" ht="14.4" customHeight="1" x14ac:dyDescent="0.3">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spans="1:27" ht="14.4" customHeight="1" x14ac:dyDescent="0.3">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spans="1:27" ht="14.4" customHeight="1" x14ac:dyDescent="0.3">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spans="1:27" ht="14.4" customHeight="1" x14ac:dyDescent="0.3">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spans="1:27" ht="14.4" customHeight="1" x14ac:dyDescent="0.3">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spans="1:27" ht="14.4" customHeight="1" x14ac:dyDescent="0.3">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spans="1:27" ht="14.4" customHeight="1" x14ac:dyDescent="0.3">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spans="1:27" ht="14.4" customHeight="1" x14ac:dyDescent="0.3">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spans="1:27" ht="14.4" customHeight="1" x14ac:dyDescent="0.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spans="1:27" ht="14.4" customHeight="1" x14ac:dyDescent="0.3">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spans="1:27" ht="14.4" customHeight="1" x14ac:dyDescent="0.3">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spans="1:27" ht="14.4" customHeight="1" x14ac:dyDescent="0.3">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spans="1:27" ht="14.4" customHeight="1" x14ac:dyDescent="0.3">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spans="1:27" ht="14.4" customHeight="1" x14ac:dyDescent="0.3">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spans="1:27" ht="14.4" customHeight="1" x14ac:dyDescent="0.3">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spans="1:27" ht="14.4" customHeight="1" x14ac:dyDescent="0.3">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spans="1:27" ht="14.4" customHeight="1" x14ac:dyDescent="0.3">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spans="1:27" ht="14.4" customHeight="1" x14ac:dyDescent="0.3">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spans="1:27" ht="14.4" customHeight="1" x14ac:dyDescent="0.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spans="1:27" ht="14.4" customHeight="1" x14ac:dyDescent="0.3">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spans="1:27" ht="14.4" customHeight="1" x14ac:dyDescent="0.3">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spans="1:27" ht="14.4" customHeight="1" x14ac:dyDescent="0.3">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spans="1:27" ht="14.4" customHeight="1" x14ac:dyDescent="0.3">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spans="1:27" ht="14.4" customHeight="1" x14ac:dyDescent="0.3">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spans="1:27" ht="14.4" customHeight="1" x14ac:dyDescent="0.3">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spans="1:27" ht="14.4" customHeight="1" x14ac:dyDescent="0.3">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spans="1:27" ht="14.4" customHeight="1" x14ac:dyDescent="0.3">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spans="1:27" ht="14.4" customHeight="1" x14ac:dyDescent="0.3">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spans="1:27" ht="14.4" customHeight="1" x14ac:dyDescent="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spans="1:27" ht="14.4" customHeight="1" x14ac:dyDescent="0.3">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spans="1:27" ht="14.4" customHeight="1" x14ac:dyDescent="0.3">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spans="1:27" ht="14.4" customHeight="1" x14ac:dyDescent="0.3">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spans="1:27" ht="14.4" customHeight="1" x14ac:dyDescent="0.3">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spans="1:27" ht="14.4" customHeight="1" x14ac:dyDescent="0.3">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spans="1:27" ht="14.4" customHeight="1" x14ac:dyDescent="0.3">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spans="1:27" ht="14.4" customHeight="1" x14ac:dyDescent="0.3">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spans="1:27" ht="14.4" customHeight="1" x14ac:dyDescent="0.3">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spans="1:27" ht="14.4" customHeight="1" x14ac:dyDescent="0.3">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spans="1:27" ht="14.4" customHeight="1" x14ac:dyDescent="0.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spans="1:27" ht="14.4" customHeight="1" x14ac:dyDescent="0.3">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spans="1:27" ht="14.4" customHeight="1" x14ac:dyDescent="0.3">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spans="1:27" ht="14.4" customHeight="1" x14ac:dyDescent="0.3">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spans="1:27" ht="14.4" customHeight="1" x14ac:dyDescent="0.3">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spans="1:27" ht="14.4" customHeight="1" x14ac:dyDescent="0.3">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spans="1:27" ht="14.4" customHeight="1" x14ac:dyDescent="0.3">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spans="1:27" ht="14.4" customHeight="1" x14ac:dyDescent="0.3">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spans="1:27" ht="14.4" customHeight="1" x14ac:dyDescent="0.3">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spans="1:27" ht="14.4" customHeight="1" x14ac:dyDescent="0.3">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spans="1:27" ht="14.4" customHeight="1" x14ac:dyDescent="0.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spans="1:27" ht="14.4" customHeight="1" x14ac:dyDescent="0.3">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spans="1:27" ht="14.4" customHeight="1" x14ac:dyDescent="0.3">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spans="1:27" ht="14.4" customHeight="1" x14ac:dyDescent="0.3">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spans="1:27" ht="14.4" customHeight="1" x14ac:dyDescent="0.3">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spans="1:27" ht="14.4" customHeight="1" x14ac:dyDescent="0.3">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spans="1:27" ht="14.4" customHeight="1" x14ac:dyDescent="0.3">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spans="1:27" ht="14.4" customHeight="1" x14ac:dyDescent="0.3">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spans="1:27" ht="14.4" customHeight="1" x14ac:dyDescent="0.3">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spans="1:27" ht="14.4" customHeight="1" x14ac:dyDescent="0.3">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spans="1:27" ht="14.4" customHeight="1" x14ac:dyDescent="0.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spans="1:27" ht="14.4" customHeight="1" x14ac:dyDescent="0.3">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spans="1:27" ht="14.4" customHeight="1" x14ac:dyDescent="0.3">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spans="1:27" ht="14.4" customHeight="1" x14ac:dyDescent="0.3">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spans="1:27" ht="14.4" customHeight="1" x14ac:dyDescent="0.3">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spans="1:27" ht="14.4" customHeight="1" x14ac:dyDescent="0.3">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spans="1:27" ht="14.4" customHeight="1" x14ac:dyDescent="0.3">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spans="1:27" ht="14.4" customHeight="1" x14ac:dyDescent="0.3">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spans="1:27" ht="14.4" customHeight="1" x14ac:dyDescent="0.3">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spans="1:27" ht="14.4" customHeight="1" x14ac:dyDescent="0.3">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spans="1:27" ht="14.4" customHeight="1" x14ac:dyDescent="0.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spans="1:27" ht="14.4" customHeight="1" x14ac:dyDescent="0.3">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spans="1:27" ht="14.4" customHeight="1" x14ac:dyDescent="0.3">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spans="1:27" ht="14.4" customHeight="1" x14ac:dyDescent="0.3">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spans="1:27" ht="14.4" customHeight="1" x14ac:dyDescent="0.3">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spans="1:27" ht="14.4" customHeight="1" x14ac:dyDescent="0.3">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spans="1:27" ht="14.4" customHeight="1" x14ac:dyDescent="0.3">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spans="1:27" ht="14.4" customHeight="1" x14ac:dyDescent="0.3">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spans="1:27" ht="14.4" customHeight="1" x14ac:dyDescent="0.3">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spans="1:27" ht="14.4" customHeight="1" x14ac:dyDescent="0.3">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spans="1:27" ht="14.4" customHeight="1" x14ac:dyDescent="0.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spans="1:27" ht="14.4" customHeight="1" x14ac:dyDescent="0.3">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spans="1:27" ht="14.4" customHeight="1" x14ac:dyDescent="0.3">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spans="1:27" ht="14.4" customHeight="1" x14ac:dyDescent="0.3">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spans="1:27" ht="14.4" customHeight="1" x14ac:dyDescent="0.3">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spans="1:27" ht="14.4" customHeight="1" x14ac:dyDescent="0.3">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spans="1:27" ht="14.4" customHeight="1" x14ac:dyDescent="0.3">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spans="1:27" ht="14.4" customHeight="1" x14ac:dyDescent="0.3">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spans="1:27" ht="14.4" customHeight="1" x14ac:dyDescent="0.3">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spans="1:27" ht="14.4" customHeight="1" x14ac:dyDescent="0.3">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spans="1:27" ht="14.4" customHeight="1" x14ac:dyDescent="0.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spans="1:27" ht="14.4" customHeight="1" x14ac:dyDescent="0.3">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spans="1:27" ht="14.4" customHeight="1" x14ac:dyDescent="0.3">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spans="1:27" ht="14.4" customHeight="1" x14ac:dyDescent="0.3">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spans="1:27" ht="14.4" customHeight="1" x14ac:dyDescent="0.3">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spans="1:27" ht="14.4" customHeight="1" x14ac:dyDescent="0.3">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spans="1:27" ht="14.4" customHeight="1" x14ac:dyDescent="0.3">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spans="1:27" ht="14.4" customHeight="1" x14ac:dyDescent="0.3">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spans="1:27" ht="14.4" customHeight="1" x14ac:dyDescent="0.3">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spans="1:27" ht="14.4" customHeight="1" x14ac:dyDescent="0.3">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spans="1:27" ht="14.4" customHeight="1" x14ac:dyDescent="0.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spans="1:27" ht="14.4" customHeight="1" x14ac:dyDescent="0.3">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spans="1:27" ht="14.4" customHeight="1" x14ac:dyDescent="0.3">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spans="1:27" ht="14.4" customHeight="1" x14ac:dyDescent="0.3">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spans="1:27" ht="14.4" customHeight="1" x14ac:dyDescent="0.3">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spans="1:27" ht="14.4" customHeight="1" x14ac:dyDescent="0.3">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spans="1:27" ht="14.4" customHeight="1" x14ac:dyDescent="0.3">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spans="1:27" ht="14.4" customHeight="1" x14ac:dyDescent="0.3">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spans="1:27" ht="14.4" customHeight="1" x14ac:dyDescent="0.3">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spans="1:27" ht="14.4" customHeight="1" x14ac:dyDescent="0.3">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spans="1:27" ht="14.4" customHeight="1" x14ac:dyDescent="0.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spans="1:27" ht="14.4" customHeight="1" x14ac:dyDescent="0.3">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spans="1:27" ht="14.4" customHeight="1" x14ac:dyDescent="0.3">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spans="1:27" ht="14.4" customHeight="1" x14ac:dyDescent="0.3">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spans="1:27" ht="14.4" customHeight="1" x14ac:dyDescent="0.3">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spans="1:27" ht="14.4" customHeight="1" x14ac:dyDescent="0.3">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spans="1:27" ht="14.4" customHeight="1" x14ac:dyDescent="0.3">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spans="1:27" ht="14.4" customHeight="1" x14ac:dyDescent="0.3">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spans="1:27" ht="14.4" customHeight="1" x14ac:dyDescent="0.3">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spans="1:27" ht="14.4" customHeight="1" x14ac:dyDescent="0.3">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spans="1:27" ht="14.4" customHeight="1" x14ac:dyDescent="0.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spans="1:27" ht="14.4" customHeight="1" x14ac:dyDescent="0.3">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spans="1:27" ht="14.4" customHeight="1" x14ac:dyDescent="0.3">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spans="1:27" ht="14.4" customHeight="1" x14ac:dyDescent="0.3">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spans="1:27" ht="14.4" customHeight="1" x14ac:dyDescent="0.3">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spans="1:27" ht="14.4" customHeight="1" x14ac:dyDescent="0.3">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spans="1:27" ht="14.4" customHeight="1" x14ac:dyDescent="0.3">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spans="1:27" ht="14.4" customHeight="1" x14ac:dyDescent="0.3">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spans="1:27" ht="14.4" customHeight="1" x14ac:dyDescent="0.3">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spans="1:27" ht="14.4" customHeight="1" x14ac:dyDescent="0.3">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spans="1:27" ht="14.4" customHeight="1" x14ac:dyDescent="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spans="1:27" ht="14.4" customHeight="1" x14ac:dyDescent="0.3">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spans="1:27" ht="14.4" customHeight="1" x14ac:dyDescent="0.3">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spans="1:27" ht="14.4" customHeight="1" x14ac:dyDescent="0.3">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spans="1:27" ht="14.4" customHeight="1" x14ac:dyDescent="0.3">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spans="1:27" ht="14.4" customHeight="1" x14ac:dyDescent="0.3">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spans="1:27" ht="14.4" customHeight="1" x14ac:dyDescent="0.3">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spans="1:27" ht="14.4" customHeight="1" x14ac:dyDescent="0.3">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spans="1:27" ht="14.4" customHeight="1" x14ac:dyDescent="0.3">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spans="1:27" ht="14.4" customHeight="1" x14ac:dyDescent="0.3">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spans="1:27" ht="14.4" customHeight="1" x14ac:dyDescent="0.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spans="1:27" ht="14.4" customHeight="1" x14ac:dyDescent="0.3">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spans="1:27" ht="14.4" customHeight="1" x14ac:dyDescent="0.3">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spans="1:27" ht="14.4" customHeight="1" x14ac:dyDescent="0.3">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spans="1:27" ht="14.4" customHeight="1" x14ac:dyDescent="0.3">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spans="1:27" ht="14.4" customHeight="1" x14ac:dyDescent="0.3">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spans="1:27" ht="14.4" customHeight="1" x14ac:dyDescent="0.3">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spans="1:27" ht="14.4" customHeight="1" x14ac:dyDescent="0.3">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spans="1:27" ht="14.4" customHeight="1" x14ac:dyDescent="0.3">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spans="1:27" ht="14.4" customHeight="1" x14ac:dyDescent="0.3">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spans="1:27" ht="14.4" customHeight="1" x14ac:dyDescent="0.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spans="1:27" ht="14.4" customHeight="1" x14ac:dyDescent="0.3">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spans="1:27" ht="14.4" customHeight="1" x14ac:dyDescent="0.3">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spans="1:27" ht="14.4" customHeight="1" x14ac:dyDescent="0.3">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spans="1:27" ht="14.4" customHeight="1" x14ac:dyDescent="0.3">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spans="1:27" ht="14.4" customHeight="1" x14ac:dyDescent="0.3">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spans="1:27" ht="14.4" customHeight="1" x14ac:dyDescent="0.3">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spans="1:27" ht="14.4" customHeight="1" x14ac:dyDescent="0.3">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spans="1:27" ht="14.4" customHeight="1" x14ac:dyDescent="0.3">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spans="1:27" ht="14.4" customHeight="1" x14ac:dyDescent="0.3">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spans="1:27" ht="14.4" customHeight="1" x14ac:dyDescent="0.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spans="1:27" ht="14.4" customHeight="1" x14ac:dyDescent="0.3">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spans="1:27" ht="14.4" customHeight="1" x14ac:dyDescent="0.3">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spans="1:27" ht="14.4" customHeight="1" x14ac:dyDescent="0.3">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spans="1:27" ht="14.4" customHeight="1" x14ac:dyDescent="0.3">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spans="1:27" ht="14.4" customHeight="1" x14ac:dyDescent="0.3">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spans="1:27" ht="14.4" customHeight="1" x14ac:dyDescent="0.3">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spans="1:27" ht="14.4" customHeight="1" x14ac:dyDescent="0.3">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spans="1:27" ht="14.4" customHeight="1" x14ac:dyDescent="0.3">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spans="1:27" ht="14.4" customHeight="1" x14ac:dyDescent="0.3">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spans="1:27" ht="14.4" customHeight="1" x14ac:dyDescent="0.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spans="1:27" ht="14.4" customHeight="1" x14ac:dyDescent="0.3">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spans="1:27" ht="14.4" customHeight="1" x14ac:dyDescent="0.3">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spans="1:27" ht="14.4" customHeight="1" x14ac:dyDescent="0.3">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spans="1:27" ht="14.4" customHeight="1" x14ac:dyDescent="0.3">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spans="1:27" ht="14.4" customHeight="1" x14ac:dyDescent="0.3">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spans="1:27" ht="14.4" customHeight="1" x14ac:dyDescent="0.3">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spans="1:27" ht="14.4" customHeight="1" x14ac:dyDescent="0.3">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spans="1:27" ht="14.4" customHeight="1" x14ac:dyDescent="0.3">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spans="1:27" ht="14.4" customHeight="1" x14ac:dyDescent="0.3">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spans="1:27" ht="14.4" customHeight="1" x14ac:dyDescent="0.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spans="1:27" ht="14.4" customHeight="1" x14ac:dyDescent="0.3">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spans="1:27" ht="14.4" customHeight="1" x14ac:dyDescent="0.3">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spans="1:27" ht="14.4" customHeight="1" x14ac:dyDescent="0.3">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spans="1:27" ht="14.4" customHeight="1" x14ac:dyDescent="0.3">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spans="1:27" ht="14.4" customHeight="1" x14ac:dyDescent="0.3">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spans="1:27" ht="14.4" customHeight="1" x14ac:dyDescent="0.3">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spans="1:27" ht="14.4" customHeight="1" x14ac:dyDescent="0.3">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spans="1:27" ht="14.4" customHeight="1" x14ac:dyDescent="0.3">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spans="1:27" ht="14.4" customHeight="1" x14ac:dyDescent="0.3">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spans="1:27" ht="14.4" customHeight="1" x14ac:dyDescent="0.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spans="1:27" ht="14.4" customHeight="1" x14ac:dyDescent="0.3">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spans="1:27" ht="14.4" customHeight="1" x14ac:dyDescent="0.3">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spans="1:27" ht="14.4" customHeight="1" x14ac:dyDescent="0.3">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spans="1:27" ht="14.4" customHeight="1" x14ac:dyDescent="0.3">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spans="1:27" ht="14.4" customHeight="1" x14ac:dyDescent="0.3">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spans="1:27" ht="14.4" customHeight="1" x14ac:dyDescent="0.3">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spans="1:27" ht="14.4" customHeight="1" x14ac:dyDescent="0.3">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spans="1:27" ht="14.4" customHeight="1" x14ac:dyDescent="0.3">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spans="1:27" ht="14.4" customHeight="1" x14ac:dyDescent="0.3">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spans="1:27" ht="14.4" customHeight="1" x14ac:dyDescent="0.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spans="1:27" ht="14.4" customHeight="1" x14ac:dyDescent="0.3">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spans="1:27" ht="14.4" customHeight="1" x14ac:dyDescent="0.3">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spans="1:27" ht="14.4" customHeight="1" x14ac:dyDescent="0.3">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spans="1:27" ht="14.4" customHeight="1" x14ac:dyDescent="0.3">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spans="1:27" ht="14.4" customHeight="1" x14ac:dyDescent="0.3">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spans="1:27" ht="14.4" customHeight="1" x14ac:dyDescent="0.3">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spans="1:27" ht="14.4" customHeight="1" x14ac:dyDescent="0.3">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spans="1:27" ht="14.4" customHeight="1" x14ac:dyDescent="0.3">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spans="1:27" ht="14.4" customHeight="1" x14ac:dyDescent="0.3">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spans="1:27" ht="14.4" customHeight="1" x14ac:dyDescent="0.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spans="1:27" ht="14.4" customHeight="1" x14ac:dyDescent="0.3">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spans="1:27" ht="14.4" customHeight="1" x14ac:dyDescent="0.3">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spans="1:27" ht="14.4" customHeight="1" x14ac:dyDescent="0.3">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spans="1:27" ht="14.4" customHeight="1" x14ac:dyDescent="0.3">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spans="1:27" ht="14.4" customHeight="1" x14ac:dyDescent="0.3">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spans="1:27" ht="14.4" customHeight="1" x14ac:dyDescent="0.3">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spans="1:27" ht="14.4" customHeight="1" x14ac:dyDescent="0.3">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spans="1:27" ht="14.4" customHeight="1" x14ac:dyDescent="0.3">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spans="1:27" ht="14.4" customHeight="1" x14ac:dyDescent="0.3">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spans="1:27" ht="14.4" customHeight="1" x14ac:dyDescent="0.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spans="1:27" ht="14.4" customHeight="1" x14ac:dyDescent="0.3">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spans="1:27" ht="14.4" customHeight="1" x14ac:dyDescent="0.3">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spans="1:27" ht="14.4" customHeight="1" x14ac:dyDescent="0.3">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spans="1:27" ht="14.4" customHeight="1" x14ac:dyDescent="0.3">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spans="1:27" ht="14.4" customHeight="1" x14ac:dyDescent="0.3">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spans="1:27" ht="14.4" customHeight="1" x14ac:dyDescent="0.3">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spans="1:27" ht="14.4" customHeight="1" x14ac:dyDescent="0.3">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spans="1:27" ht="14.4" customHeight="1" x14ac:dyDescent="0.3">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spans="1:27" ht="14.4" customHeight="1" x14ac:dyDescent="0.3">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spans="1:27" ht="14.4" customHeight="1" x14ac:dyDescent="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spans="1:27" ht="14.4" customHeight="1" x14ac:dyDescent="0.3">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spans="1:27" ht="14.4" customHeight="1" x14ac:dyDescent="0.3">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spans="1:27" ht="14.4" customHeight="1" x14ac:dyDescent="0.3">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spans="1:27" ht="14.4" customHeight="1" x14ac:dyDescent="0.3">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spans="1:27" ht="14.4" customHeight="1" x14ac:dyDescent="0.3">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spans="1:27" ht="14.4" customHeight="1" x14ac:dyDescent="0.3">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spans="1:27" ht="14.4" customHeight="1" x14ac:dyDescent="0.3">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spans="1:27" ht="14.4" customHeight="1" x14ac:dyDescent="0.3">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spans="1:27" ht="14.4" customHeight="1" x14ac:dyDescent="0.3">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spans="1:27" ht="14.4" customHeight="1" x14ac:dyDescent="0.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spans="1:27" ht="14.4" customHeight="1" x14ac:dyDescent="0.3">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spans="1:27" ht="14.4" customHeight="1" x14ac:dyDescent="0.3">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spans="1:27" ht="14.4" customHeight="1" x14ac:dyDescent="0.3">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spans="1:27" ht="14.4" customHeight="1" x14ac:dyDescent="0.3">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spans="1:27" ht="14.4" customHeight="1" x14ac:dyDescent="0.3">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spans="1:27" ht="14.4" customHeight="1" x14ac:dyDescent="0.3">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spans="1:27" ht="14.4" customHeight="1" x14ac:dyDescent="0.3">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spans="1:27" ht="14.4" customHeight="1" x14ac:dyDescent="0.3">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spans="1:27" ht="14.4" customHeight="1" x14ac:dyDescent="0.3">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spans="1:27" ht="14.4" customHeight="1" x14ac:dyDescent="0.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spans="1:27" ht="14.4" customHeight="1" x14ac:dyDescent="0.3">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spans="1:27" ht="14.4" customHeight="1" x14ac:dyDescent="0.3">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spans="1:27" ht="14.4" customHeight="1" x14ac:dyDescent="0.3">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spans="1:27" ht="14.4" customHeight="1" x14ac:dyDescent="0.3">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spans="1:27" ht="14.4" customHeight="1" x14ac:dyDescent="0.3">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spans="1:27" ht="14.4" customHeight="1" x14ac:dyDescent="0.3">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spans="1:27" ht="14.4" customHeight="1" x14ac:dyDescent="0.3">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spans="1:27" ht="14.4" customHeight="1" x14ac:dyDescent="0.3">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spans="1:27" ht="14.4" customHeight="1" x14ac:dyDescent="0.3">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spans="1:27" ht="14.4" customHeight="1" x14ac:dyDescent="0.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spans="1:27" ht="14.4" customHeight="1" x14ac:dyDescent="0.3">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spans="1:27" ht="14.4" customHeight="1" x14ac:dyDescent="0.3">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spans="1:27" ht="14.4" customHeight="1" x14ac:dyDescent="0.3">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spans="1:27" ht="14.4" customHeight="1" x14ac:dyDescent="0.3">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spans="1:27" ht="14.4" customHeight="1" x14ac:dyDescent="0.3">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spans="1:27" ht="14.4" customHeight="1" x14ac:dyDescent="0.3">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spans="1:27" ht="14.4" customHeight="1" x14ac:dyDescent="0.3">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spans="1:27" ht="14.4" customHeight="1" x14ac:dyDescent="0.3">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spans="1:27" ht="14.4" customHeight="1" x14ac:dyDescent="0.3">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spans="1:27" ht="14.4" customHeight="1" x14ac:dyDescent="0.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spans="1:27" ht="14.4" customHeight="1" x14ac:dyDescent="0.3">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spans="1:27" ht="14.4" customHeight="1" x14ac:dyDescent="0.3">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spans="1:27" ht="14.4" customHeight="1" x14ac:dyDescent="0.3">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spans="1:27" ht="14.4" customHeight="1" x14ac:dyDescent="0.3">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spans="1:27" ht="14.4" customHeight="1" x14ac:dyDescent="0.3">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spans="1:27" ht="14.4" customHeight="1" x14ac:dyDescent="0.3">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spans="1:27" ht="14.4" customHeight="1" x14ac:dyDescent="0.3">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spans="1:27" ht="14.4" customHeight="1" x14ac:dyDescent="0.3">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spans="1:27" ht="14.4" customHeight="1" x14ac:dyDescent="0.3">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spans="1:27" ht="14.4" customHeight="1" x14ac:dyDescent="0.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spans="1:27" ht="14.4" customHeight="1" x14ac:dyDescent="0.3">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spans="1:27" ht="14.4" customHeight="1" x14ac:dyDescent="0.3">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spans="1:27" ht="14.4" customHeight="1" x14ac:dyDescent="0.3">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spans="1:27" ht="14.4" customHeight="1" x14ac:dyDescent="0.3">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spans="1:27" ht="14.4" customHeight="1" x14ac:dyDescent="0.3">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spans="1:27" ht="14.4" customHeight="1" x14ac:dyDescent="0.3">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spans="1:27" ht="14.4" customHeight="1" x14ac:dyDescent="0.3">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spans="1:27" ht="14.4" customHeight="1" x14ac:dyDescent="0.3">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spans="1:27" ht="14.4" customHeight="1" x14ac:dyDescent="0.3">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spans="1:27" ht="14.4" customHeight="1" x14ac:dyDescent="0.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spans="1:27" ht="14.4" customHeight="1" x14ac:dyDescent="0.3">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spans="1:27" ht="14.4" customHeight="1" x14ac:dyDescent="0.3">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spans="1:27" ht="14.4" customHeight="1" x14ac:dyDescent="0.3">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spans="1:27" ht="14.4" customHeight="1" x14ac:dyDescent="0.3">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spans="1:27" ht="14.4" customHeight="1" x14ac:dyDescent="0.3">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spans="1:27" ht="14.4" customHeight="1" x14ac:dyDescent="0.3">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spans="1:27" ht="14.4" customHeight="1" x14ac:dyDescent="0.3">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spans="1:27" ht="14.4" customHeight="1" x14ac:dyDescent="0.3">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spans="1:27" ht="14.4" customHeight="1" x14ac:dyDescent="0.3">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spans="1:27" ht="14.4" customHeight="1" x14ac:dyDescent="0.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spans="1:27" ht="14.4" customHeight="1" x14ac:dyDescent="0.3">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spans="1:27" ht="14.4" customHeight="1" x14ac:dyDescent="0.3">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spans="1:27" ht="14.4" customHeight="1" x14ac:dyDescent="0.3">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spans="1:27" ht="14.4" customHeight="1" x14ac:dyDescent="0.3">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spans="1:27" ht="14.4" customHeight="1" x14ac:dyDescent="0.3">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spans="1:27" ht="14.4" customHeight="1" x14ac:dyDescent="0.3">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spans="1:27" ht="14.4" customHeight="1" x14ac:dyDescent="0.3">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spans="1:27" ht="14.4" customHeight="1" x14ac:dyDescent="0.3">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spans="1:27" ht="14.4" customHeight="1" x14ac:dyDescent="0.3">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spans="1:27" ht="14.4" customHeight="1" x14ac:dyDescent="0.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spans="1:27" ht="14.4" customHeight="1" x14ac:dyDescent="0.3">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spans="1:27" ht="14.4" customHeight="1" x14ac:dyDescent="0.3">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spans="1:27" ht="14.4" customHeight="1" x14ac:dyDescent="0.3">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spans="1:27" ht="14.4" customHeight="1" x14ac:dyDescent="0.3">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spans="1:27" ht="14.4" customHeight="1" x14ac:dyDescent="0.3">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spans="1:27" ht="14.4" customHeight="1" x14ac:dyDescent="0.3">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spans="1:27" ht="14.4" customHeight="1" x14ac:dyDescent="0.3">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spans="1:27" ht="14.4" customHeight="1" x14ac:dyDescent="0.3">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spans="1:27" ht="14.4" customHeight="1" x14ac:dyDescent="0.3">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spans="1:27" ht="14.4" customHeight="1" x14ac:dyDescent="0.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spans="1:27" ht="14.4" customHeight="1" x14ac:dyDescent="0.3">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spans="1:27" ht="14.4" customHeight="1" x14ac:dyDescent="0.3">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spans="1:27" ht="14.4" customHeight="1" x14ac:dyDescent="0.3">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spans="1:27" ht="14.4" customHeight="1" x14ac:dyDescent="0.3">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spans="1:27" ht="14.4" customHeight="1" x14ac:dyDescent="0.3">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spans="1:27" ht="14.4" customHeight="1" x14ac:dyDescent="0.3">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spans="1:27" ht="14.4" customHeight="1" x14ac:dyDescent="0.3">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spans="1:27" ht="14.4" customHeight="1" x14ac:dyDescent="0.3">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spans="1:27" ht="14.4" customHeight="1" x14ac:dyDescent="0.3">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spans="1:27" ht="14.4" customHeight="1" x14ac:dyDescent="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spans="1:27" ht="14.4" customHeight="1" x14ac:dyDescent="0.3">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spans="1:27" ht="14.4" customHeight="1" x14ac:dyDescent="0.3">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spans="1:27" ht="14.4" customHeight="1" x14ac:dyDescent="0.3">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spans="1:27" ht="14.4" customHeight="1" x14ac:dyDescent="0.3">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spans="1:27" ht="14.4" customHeight="1" x14ac:dyDescent="0.3">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spans="1:27" ht="14.4" customHeight="1" x14ac:dyDescent="0.3">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spans="1:27" ht="14.4" customHeight="1" x14ac:dyDescent="0.3">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spans="1:27" ht="14.4" customHeight="1" x14ac:dyDescent="0.3">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spans="1:27" ht="14.4" customHeight="1" x14ac:dyDescent="0.3">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spans="1:27" ht="14.4" customHeight="1" x14ac:dyDescent="0.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spans="1:27" ht="14.4" customHeight="1" x14ac:dyDescent="0.3">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spans="1:27" ht="14.4" customHeight="1" x14ac:dyDescent="0.3">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spans="1:27" ht="14.4" customHeight="1" x14ac:dyDescent="0.3">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spans="1:27" ht="14.4" customHeight="1" x14ac:dyDescent="0.3">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spans="1:27" ht="14.4" customHeight="1" x14ac:dyDescent="0.3">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spans="1:27" ht="14.4" customHeight="1" x14ac:dyDescent="0.3">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spans="1:27" ht="14.4" customHeight="1" x14ac:dyDescent="0.3">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spans="1:27" ht="14.4" customHeight="1" x14ac:dyDescent="0.3">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spans="1:27" ht="14.4" customHeight="1" x14ac:dyDescent="0.3">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spans="1:27" ht="14.4" customHeight="1" x14ac:dyDescent="0.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spans="1:27" ht="14.4" customHeight="1" x14ac:dyDescent="0.3">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spans="1:27" ht="14.4" customHeight="1" x14ac:dyDescent="0.3">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spans="1:27" ht="14.4" customHeight="1" x14ac:dyDescent="0.3">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spans="1:27" ht="14.4" customHeight="1" x14ac:dyDescent="0.3">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spans="1:27" ht="14.4" customHeight="1" x14ac:dyDescent="0.3">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spans="1:27" ht="14.4" customHeight="1" x14ac:dyDescent="0.3">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spans="1:27" ht="14.4" customHeight="1" x14ac:dyDescent="0.3">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spans="1:27" ht="14.4" customHeight="1" x14ac:dyDescent="0.3">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spans="1:27" ht="14.4" customHeight="1" x14ac:dyDescent="0.3">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spans="1:27" ht="14.4" customHeight="1" x14ac:dyDescent="0.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spans="1:27" ht="14.4" customHeight="1" x14ac:dyDescent="0.3">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spans="1:27" ht="14.4" customHeight="1" x14ac:dyDescent="0.3">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spans="1:27" ht="14.4" customHeight="1" x14ac:dyDescent="0.3">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spans="1:27" ht="14.4" customHeight="1" x14ac:dyDescent="0.3">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spans="1:27" ht="14.4" customHeight="1" x14ac:dyDescent="0.3">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spans="1:27" ht="14.4" customHeight="1" x14ac:dyDescent="0.3">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spans="1:27" ht="14.4" customHeight="1" x14ac:dyDescent="0.3">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spans="1:27" ht="14.4" customHeight="1" x14ac:dyDescent="0.3">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spans="1:27" ht="14.4" customHeight="1" x14ac:dyDescent="0.3">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spans="1:27" ht="14.4" customHeight="1" x14ac:dyDescent="0.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spans="1:27" ht="14.4" customHeight="1" x14ac:dyDescent="0.3">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spans="1:27" ht="14.4" customHeight="1" x14ac:dyDescent="0.3">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spans="1:27" ht="14.4" customHeight="1" x14ac:dyDescent="0.3">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spans="1:27" ht="14.4" customHeight="1" x14ac:dyDescent="0.3">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spans="1:27" ht="14.4" customHeight="1" x14ac:dyDescent="0.3">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spans="1:27" ht="14.4" customHeight="1" x14ac:dyDescent="0.3">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spans="1:27" ht="14.4" customHeight="1" x14ac:dyDescent="0.3">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spans="1:27" ht="14.4" customHeight="1" x14ac:dyDescent="0.3">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spans="1:27" ht="14.4" customHeight="1" x14ac:dyDescent="0.3">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spans="1:27" ht="14.4" customHeight="1" x14ac:dyDescent="0.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spans="1:27" ht="14.4" customHeight="1" x14ac:dyDescent="0.3">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spans="1:27" ht="14.4" customHeight="1" x14ac:dyDescent="0.3">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spans="1:27" ht="14.4" customHeight="1" x14ac:dyDescent="0.3">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spans="1:27" ht="14.4" customHeight="1" x14ac:dyDescent="0.3">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spans="1:27" ht="14.4" customHeight="1" x14ac:dyDescent="0.3">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spans="1:27" ht="14.4" customHeight="1" x14ac:dyDescent="0.3">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spans="1:27" ht="14.4" customHeight="1" x14ac:dyDescent="0.3">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spans="1:27" ht="14.4" customHeight="1" x14ac:dyDescent="0.3">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spans="1:27" ht="14.4" customHeight="1" x14ac:dyDescent="0.3">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spans="1:27" ht="14.4" customHeight="1" x14ac:dyDescent="0.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spans="1:27" ht="14.4" customHeight="1" x14ac:dyDescent="0.3">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spans="1:27" ht="14.4" customHeight="1" x14ac:dyDescent="0.3">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spans="1:27" ht="14.4" customHeight="1" x14ac:dyDescent="0.3">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spans="1:27" ht="14.4" customHeight="1" x14ac:dyDescent="0.3">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spans="1:27" ht="14.4" customHeight="1" x14ac:dyDescent="0.3">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spans="1:27" ht="14.4" customHeight="1" x14ac:dyDescent="0.3">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spans="1:27" ht="14.4" customHeight="1" x14ac:dyDescent="0.3">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spans="1:27" ht="14.4" customHeight="1" x14ac:dyDescent="0.3">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spans="1:27" ht="14.4" customHeight="1" x14ac:dyDescent="0.3">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spans="1:27" ht="14.4" customHeight="1" x14ac:dyDescent="0.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spans="1:27" ht="14.4" customHeight="1" x14ac:dyDescent="0.3">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spans="1:27" ht="14.4" customHeight="1" x14ac:dyDescent="0.3">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spans="1:27" ht="14.4" customHeight="1" x14ac:dyDescent="0.3">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spans="1:27" ht="14.4" customHeight="1" x14ac:dyDescent="0.3">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spans="1:27" ht="14.4" customHeight="1" x14ac:dyDescent="0.3">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spans="1:27" ht="14.4" customHeight="1" x14ac:dyDescent="0.3">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spans="1:27" ht="14.4" customHeight="1" x14ac:dyDescent="0.3">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spans="1:27" ht="14.4" customHeight="1" x14ac:dyDescent="0.3">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spans="1:27" ht="14.4" customHeight="1" x14ac:dyDescent="0.3">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spans="1:27" ht="14.4" customHeight="1" x14ac:dyDescent="0.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spans="1:27" ht="14.4" customHeight="1" x14ac:dyDescent="0.3">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spans="1:27" ht="14.4" customHeight="1" x14ac:dyDescent="0.3">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spans="1:27" ht="14.4" customHeight="1" x14ac:dyDescent="0.3">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spans="1:27" ht="14.4" customHeight="1" x14ac:dyDescent="0.3">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spans="1:27" ht="14.4" customHeight="1" x14ac:dyDescent="0.3">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spans="1:27" ht="14.4" customHeight="1" x14ac:dyDescent="0.3">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spans="1:27" ht="14.4" customHeight="1" x14ac:dyDescent="0.3">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spans="1:27" ht="14.4" customHeight="1" x14ac:dyDescent="0.3">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spans="1:27" ht="14.4" customHeight="1" x14ac:dyDescent="0.3">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spans="1:27" ht="14.4" customHeight="1" x14ac:dyDescent="0.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spans="1:27" ht="14.4" customHeight="1" x14ac:dyDescent="0.3">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spans="1:27" ht="14.4" customHeight="1" x14ac:dyDescent="0.3">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spans="1:27" ht="14.4" customHeight="1" x14ac:dyDescent="0.3">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spans="1:27" ht="14.4" customHeight="1" x14ac:dyDescent="0.3">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spans="1:27" ht="14.4" customHeight="1" x14ac:dyDescent="0.3">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spans="1:27" ht="14.4" customHeight="1" x14ac:dyDescent="0.3">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spans="1:27" ht="14.4" customHeight="1" x14ac:dyDescent="0.3">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spans="1:27" ht="14.4" customHeight="1" x14ac:dyDescent="0.3">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spans="1:27" ht="14.4" customHeight="1" x14ac:dyDescent="0.3">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spans="1:27" ht="14.4" customHeight="1" x14ac:dyDescent="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spans="1:27" ht="14.4" customHeight="1" x14ac:dyDescent="0.3">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spans="1:27" ht="14.4" customHeight="1" x14ac:dyDescent="0.3">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spans="1:27" ht="14.4" customHeight="1" x14ac:dyDescent="0.3">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spans="1:27" ht="14.4" customHeight="1" x14ac:dyDescent="0.3">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spans="1:27" ht="14.4" customHeight="1" x14ac:dyDescent="0.3">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spans="1:27" ht="14.4" customHeight="1" x14ac:dyDescent="0.3">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spans="1:27" ht="14.4" customHeight="1" x14ac:dyDescent="0.3">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spans="1:27" ht="14.4" customHeight="1" x14ac:dyDescent="0.3">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spans="1:27" ht="14.4" customHeight="1" x14ac:dyDescent="0.3">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spans="1:27" ht="14.4" customHeight="1" x14ac:dyDescent="0.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spans="1:27" ht="14.4" customHeight="1" x14ac:dyDescent="0.3">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spans="1:27" ht="14.4" customHeight="1" x14ac:dyDescent="0.3">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spans="1:27" ht="14.4" customHeight="1" x14ac:dyDescent="0.3">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spans="1:27" ht="14.4" customHeight="1" x14ac:dyDescent="0.3">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spans="1:27" ht="14.4" customHeight="1" x14ac:dyDescent="0.3">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spans="1:27" ht="14.4" customHeight="1" x14ac:dyDescent="0.3">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spans="1:27" ht="14.4" customHeight="1" x14ac:dyDescent="0.3">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spans="1:27" ht="14.4" customHeight="1" x14ac:dyDescent="0.3">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spans="1:27" ht="14.4" customHeight="1" x14ac:dyDescent="0.3">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spans="1:27" ht="14.4" customHeight="1" x14ac:dyDescent="0.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spans="1:27" ht="14.4" customHeight="1" x14ac:dyDescent="0.3">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spans="1:27" ht="14.4" customHeight="1" x14ac:dyDescent="0.3">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spans="1:27" ht="14.4" customHeight="1" x14ac:dyDescent="0.3">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spans="1:27" ht="14.4" customHeight="1" x14ac:dyDescent="0.3">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spans="1:27" ht="14.4" customHeight="1" x14ac:dyDescent="0.3">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spans="1:27" ht="14.4" customHeight="1" x14ac:dyDescent="0.3">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spans="1:27" ht="14.4" customHeight="1" x14ac:dyDescent="0.3">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spans="1:27" ht="14.4" customHeight="1" x14ac:dyDescent="0.3">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spans="1:27" ht="14.4" customHeight="1" x14ac:dyDescent="0.3">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spans="1:27" ht="14.4" customHeight="1" x14ac:dyDescent="0.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spans="1:27" ht="14.4" customHeight="1" x14ac:dyDescent="0.3">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spans="1:27" ht="14.4" customHeight="1" x14ac:dyDescent="0.3">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spans="1:27" ht="14.4" customHeight="1" x14ac:dyDescent="0.3">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spans="1:27" ht="14.4" customHeight="1" x14ac:dyDescent="0.3">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spans="1:27" ht="14.4" customHeight="1" x14ac:dyDescent="0.3">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spans="1:27" ht="14.4" customHeight="1" x14ac:dyDescent="0.3">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spans="1:27" ht="14.4" customHeight="1" x14ac:dyDescent="0.3">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spans="1:27" ht="14.4" customHeight="1" x14ac:dyDescent="0.3">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spans="1:27" ht="14.4" customHeight="1" x14ac:dyDescent="0.3">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spans="1:27" ht="14.4" customHeight="1" x14ac:dyDescent="0.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spans="1:27" ht="14.4" customHeight="1" x14ac:dyDescent="0.3">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spans="1:27" ht="14.4" customHeight="1" x14ac:dyDescent="0.3">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spans="1:27" ht="14.4" customHeight="1" x14ac:dyDescent="0.3">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spans="1:27" ht="14.4" customHeight="1" x14ac:dyDescent="0.3">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spans="1:27" ht="14.4" customHeight="1" x14ac:dyDescent="0.3">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spans="1:27" ht="14.4" customHeight="1" x14ac:dyDescent="0.3">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spans="1:27" ht="14.4" customHeight="1" x14ac:dyDescent="0.3">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spans="1:27" ht="14.4" customHeight="1" x14ac:dyDescent="0.3">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spans="1:27" ht="14.4" customHeight="1" x14ac:dyDescent="0.3">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spans="1:27" ht="14.4" customHeight="1" x14ac:dyDescent="0.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spans="1:27" ht="14.4" customHeight="1" x14ac:dyDescent="0.3">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spans="1:27" ht="14.4" customHeight="1" x14ac:dyDescent="0.3">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spans="1:27" ht="14.4" customHeight="1" x14ac:dyDescent="0.3">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spans="1:27" ht="14.4" customHeight="1" x14ac:dyDescent="0.3">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spans="1:27" ht="14.4" customHeight="1" x14ac:dyDescent="0.3">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spans="1:27" ht="14.4" customHeight="1" x14ac:dyDescent="0.3">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spans="1:27" ht="14.4" customHeight="1" x14ac:dyDescent="0.3">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spans="1:27" ht="14.4" customHeight="1" x14ac:dyDescent="0.3">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spans="1:27" ht="14.4" customHeight="1" x14ac:dyDescent="0.3">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spans="1:27" ht="14.4" customHeight="1" x14ac:dyDescent="0.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spans="1:27" ht="14.4" customHeight="1" x14ac:dyDescent="0.3">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spans="1:27" ht="14.4" customHeight="1" x14ac:dyDescent="0.3">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spans="1:27" ht="14.4" customHeight="1" x14ac:dyDescent="0.3">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spans="1:27" ht="14.4" customHeight="1" x14ac:dyDescent="0.3">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spans="1:27" ht="14.4" customHeight="1" x14ac:dyDescent="0.3">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spans="1:27" ht="14.4" customHeight="1" x14ac:dyDescent="0.3">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spans="1:27" ht="14.4" customHeight="1" x14ac:dyDescent="0.3">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spans="1:27" ht="14.4" customHeight="1" x14ac:dyDescent="0.3">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spans="1:27" ht="14.4" customHeight="1" x14ac:dyDescent="0.3">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spans="1:27" ht="14.4" customHeight="1" x14ac:dyDescent="0.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spans="1:27" ht="14.4" customHeight="1" x14ac:dyDescent="0.3">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spans="1:27" ht="14.4" customHeight="1" x14ac:dyDescent="0.3">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spans="1:27" ht="14.4" customHeight="1" x14ac:dyDescent="0.3">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spans="1:27" ht="14.4" customHeight="1" x14ac:dyDescent="0.3">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spans="1:27" ht="14.4" customHeight="1" x14ac:dyDescent="0.3">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spans="1:27" ht="14.4" customHeight="1" x14ac:dyDescent="0.3">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spans="1:27" ht="14.4" customHeight="1" x14ac:dyDescent="0.3">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spans="1:27" ht="14.4" customHeight="1" x14ac:dyDescent="0.3">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spans="1:27" ht="14.4" customHeight="1" x14ac:dyDescent="0.3">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spans="1:27" ht="14.4" customHeight="1" x14ac:dyDescent="0.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spans="1:27" ht="14.4" customHeight="1" x14ac:dyDescent="0.3">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spans="1:27" ht="14.4" customHeight="1" x14ac:dyDescent="0.3">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spans="1:27" ht="14.4" customHeight="1" x14ac:dyDescent="0.3">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spans="1:27" ht="14.4" customHeight="1" x14ac:dyDescent="0.3">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spans="1:27" ht="14.4" customHeight="1" x14ac:dyDescent="0.3">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spans="1:27" ht="14.4" customHeight="1" x14ac:dyDescent="0.3">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spans="1:27" ht="14.4" customHeight="1" x14ac:dyDescent="0.3">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spans="1:27" ht="14.4" customHeight="1" x14ac:dyDescent="0.3">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spans="1:27" ht="14.4" customHeight="1" x14ac:dyDescent="0.3">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spans="1:27" ht="14.4" customHeight="1" x14ac:dyDescent="0.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spans="1:27" ht="14.4" customHeight="1" x14ac:dyDescent="0.3">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spans="1:27" ht="14.4" customHeight="1" x14ac:dyDescent="0.3">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spans="1:27" ht="14.4" customHeight="1" x14ac:dyDescent="0.3">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spans="1:27" ht="14.4" customHeight="1" x14ac:dyDescent="0.3">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spans="1:27" ht="14.4" customHeight="1" x14ac:dyDescent="0.3">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spans="1:27" ht="14.4" customHeight="1" x14ac:dyDescent="0.3">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spans="1:27" ht="14.4" customHeight="1" x14ac:dyDescent="0.3">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spans="1:27" ht="14.4" customHeight="1" x14ac:dyDescent="0.3">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spans="1:27" ht="14.4" customHeight="1" x14ac:dyDescent="0.3">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spans="1:27" ht="14.4" customHeight="1" x14ac:dyDescent="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spans="1:27" ht="14.4" customHeight="1" x14ac:dyDescent="0.3">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spans="1:27" ht="14.4" customHeight="1" x14ac:dyDescent="0.3">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spans="1:27" ht="14.4" customHeight="1" x14ac:dyDescent="0.3">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spans="1:27" ht="14.4" customHeight="1" x14ac:dyDescent="0.3">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spans="1:27" ht="14.4" customHeight="1" x14ac:dyDescent="0.3">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spans="1:27" ht="14.4" customHeight="1" x14ac:dyDescent="0.3">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spans="1:27" ht="14.4" customHeight="1" x14ac:dyDescent="0.3">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spans="1:27" ht="14.4" customHeight="1" x14ac:dyDescent="0.3">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spans="1:27" ht="14.4" customHeight="1" x14ac:dyDescent="0.3">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spans="1:27" ht="14.4" customHeight="1" x14ac:dyDescent="0.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spans="1:27" ht="14.4" customHeight="1" x14ac:dyDescent="0.3">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spans="1:27" ht="14.4" customHeight="1" x14ac:dyDescent="0.3">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spans="1:27" ht="14.4" customHeight="1" x14ac:dyDescent="0.3">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spans="1:27" ht="14.4" customHeight="1" x14ac:dyDescent="0.3">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spans="1:27" ht="14.4" customHeight="1" x14ac:dyDescent="0.3">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spans="1:27" ht="14.4" customHeight="1" x14ac:dyDescent="0.3">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spans="1:27" ht="14.4" customHeight="1" x14ac:dyDescent="0.3">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spans="1:27" ht="14.4" customHeight="1" x14ac:dyDescent="0.3">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spans="1:27" ht="14.4" customHeight="1" x14ac:dyDescent="0.3">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spans="1:27" ht="14.4" customHeight="1" x14ac:dyDescent="0.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spans="1:27" ht="14.4" customHeight="1" x14ac:dyDescent="0.3">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spans="1:27" ht="14.4" customHeight="1" x14ac:dyDescent="0.3">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spans="1:27" ht="14.4" customHeight="1" x14ac:dyDescent="0.3">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spans="1:27" ht="14.4" customHeight="1" x14ac:dyDescent="0.3">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spans="1:27" ht="14.4" customHeight="1" x14ac:dyDescent="0.3">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spans="1:27" ht="14.4" customHeight="1" x14ac:dyDescent="0.3">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spans="1:27" ht="14.4" customHeight="1" x14ac:dyDescent="0.3">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spans="1:27" ht="14.4" customHeight="1" x14ac:dyDescent="0.3">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spans="1:27" ht="14.4" customHeight="1" x14ac:dyDescent="0.3">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spans="1:27" ht="14.4" customHeight="1" x14ac:dyDescent="0.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spans="1:27" ht="14.4" customHeight="1" x14ac:dyDescent="0.3">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spans="1:27" ht="14.4" customHeight="1" x14ac:dyDescent="0.3">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spans="1:27" ht="14.4" customHeight="1" x14ac:dyDescent="0.3">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spans="1:27" ht="14.4" customHeight="1" x14ac:dyDescent="0.3">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spans="1:27" ht="14.4" customHeight="1" x14ac:dyDescent="0.3">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spans="1:27" ht="14.4" customHeight="1" x14ac:dyDescent="0.3">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spans="1:27" ht="14.4" customHeight="1" x14ac:dyDescent="0.3">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spans="1:27" ht="14.4" customHeight="1" x14ac:dyDescent="0.3">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spans="1:27" ht="14.4" customHeight="1" x14ac:dyDescent="0.3">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spans="1:27" ht="14.4" customHeight="1" x14ac:dyDescent="0.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spans="1:27" ht="14.4" customHeight="1" x14ac:dyDescent="0.3">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spans="1:27" ht="14.4" customHeight="1" x14ac:dyDescent="0.3">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spans="1:27" ht="14.4" customHeight="1" x14ac:dyDescent="0.3">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spans="1:27" ht="14.4" customHeight="1" x14ac:dyDescent="0.3">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spans="1:27" ht="14.4" customHeight="1" x14ac:dyDescent="0.3">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spans="1:27" ht="14.4" customHeight="1" x14ac:dyDescent="0.3">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spans="1:27" ht="14.4" customHeight="1" x14ac:dyDescent="0.3">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spans="1:27" ht="14.4" customHeight="1" x14ac:dyDescent="0.3">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spans="1:27" ht="14.4" customHeight="1" x14ac:dyDescent="0.3">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spans="1:27" ht="14.4" customHeight="1" x14ac:dyDescent="0.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spans="1:27" ht="14.4" customHeight="1" x14ac:dyDescent="0.3">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spans="1:27" ht="14.4" customHeight="1" x14ac:dyDescent="0.3">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spans="1:27" ht="14.4" customHeight="1" x14ac:dyDescent="0.3">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spans="1:27" ht="14.4" customHeight="1" x14ac:dyDescent="0.3">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spans="1:27" ht="14.4" customHeight="1" x14ac:dyDescent="0.3">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spans="1:27" ht="14.4" customHeight="1" x14ac:dyDescent="0.3">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spans="1:27" ht="14.4" customHeight="1" x14ac:dyDescent="0.3">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spans="1:27" ht="14.4" customHeight="1" x14ac:dyDescent="0.3">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spans="1:27" ht="14.4" customHeight="1" x14ac:dyDescent="0.3">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spans="1:27" ht="14.4" customHeight="1" x14ac:dyDescent="0.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spans="1:27" ht="14.4" customHeight="1" x14ac:dyDescent="0.3">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spans="1:27" ht="14.4" customHeight="1" x14ac:dyDescent="0.3">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spans="1:27" ht="14.4" customHeight="1" x14ac:dyDescent="0.3">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spans="1:27" ht="14.4" customHeight="1" x14ac:dyDescent="0.3">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spans="1:27" ht="14.4" customHeight="1" x14ac:dyDescent="0.3">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spans="1:27" ht="14.4" customHeight="1" x14ac:dyDescent="0.3">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spans="1:27" ht="14.4" customHeight="1" x14ac:dyDescent="0.3">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spans="1:27" ht="14.4" customHeight="1" x14ac:dyDescent="0.3">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spans="1:27" ht="14.4" customHeight="1" x14ac:dyDescent="0.3">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spans="1:27" ht="14.4" customHeight="1" x14ac:dyDescent="0.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spans="1:27" ht="14.4" customHeight="1" x14ac:dyDescent="0.3">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spans="1:27" ht="14.4" customHeight="1" x14ac:dyDescent="0.3">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spans="1:27" ht="14.4" customHeight="1" x14ac:dyDescent="0.3">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spans="1:27" ht="14.4" customHeight="1" x14ac:dyDescent="0.3">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spans="1:27" ht="14.4" customHeight="1" x14ac:dyDescent="0.3">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spans="1:27" ht="14.4" customHeight="1" x14ac:dyDescent="0.3">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spans="1:27" ht="14.4" customHeight="1" x14ac:dyDescent="0.3">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spans="1:27" ht="14.4" customHeight="1" x14ac:dyDescent="0.3">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spans="1:27" ht="14.4" customHeight="1" x14ac:dyDescent="0.3">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spans="1:27" ht="14.4" customHeight="1" x14ac:dyDescent="0.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spans="1:27" ht="14.4" customHeight="1" x14ac:dyDescent="0.3">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spans="1:27" ht="14.4" customHeight="1" x14ac:dyDescent="0.3">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spans="1:27" ht="14.4" customHeight="1" x14ac:dyDescent="0.3">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spans="1:27" ht="14.4" customHeight="1" x14ac:dyDescent="0.3">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spans="1:27" ht="14.4" customHeight="1" x14ac:dyDescent="0.3">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spans="1:27" ht="14.4" customHeight="1" x14ac:dyDescent="0.3">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spans="1:27" ht="14.4" customHeight="1" x14ac:dyDescent="0.3">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sheetData>
  <mergeCells count="11">
    <mergeCell ref="D18:F18"/>
    <mergeCell ref="E13:F13"/>
    <mergeCell ref="E14:F14"/>
    <mergeCell ref="B8:F8"/>
    <mergeCell ref="E17:F17"/>
    <mergeCell ref="B9:F9"/>
    <mergeCell ref="B12:F12"/>
    <mergeCell ref="E16:F16"/>
    <mergeCell ref="E15:F15"/>
    <mergeCell ref="B10:F10"/>
    <mergeCell ref="B11:F11"/>
  </mergeCells>
  <pageMargins left="0.7" right="0.7" top="0.75" bottom="0.75" header="0.3" footer="0.3"/>
  <pageSetup orientation="portrait"/>
  <headerFooter>
    <oddHeader>&amp;L&amp;"Arial,Regular"&amp;10 &amp;K000000RESTRICTED  - Third Party</oddHeader>
    <oddFooter>&amp;R&amp;"Courier New"&amp;10 &amp;K0078D7#مقيد – عام</oddFooter>
    <evenHeader>&amp;L&amp;"Arial,Regular"&amp;10 &amp;K000000RESTRICTED  - Third Party</evenHeader>
    <firstHeader>&amp;L&amp;"Arial,Regular"&amp;10 &amp;K000000RESTRICTED  - Third Party</first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outlinePr summaryBelow="0" summaryRight="0"/>
    <pageSetUpPr autoPageBreaks="0"/>
  </sheetPr>
  <dimension ref="A1:Z986"/>
  <sheetViews>
    <sheetView showGridLines="0" topLeftCell="A28" workbookViewId="0">
      <selection activeCell="C18" sqref="C18:E18"/>
    </sheetView>
  </sheetViews>
  <sheetFormatPr defaultColWidth="14.44140625" defaultRowHeight="15" customHeight="1" x14ac:dyDescent="0.3"/>
  <cols>
    <col min="1" max="1" width="8" style="29" customWidth="1"/>
    <col min="2" max="2" width="41.44140625" style="29" customWidth="1"/>
    <col min="3" max="5" width="36.88671875" style="29" customWidth="1"/>
    <col min="6" max="6" width="8" style="29" customWidth="1"/>
    <col min="7" max="7" width="14.44140625" style="29" customWidth="1"/>
    <col min="8" max="16384" width="14.44140625" style="29"/>
  </cols>
  <sheetData>
    <row r="1" spans="1:26" ht="15" customHeight="1" x14ac:dyDescent="0.3">
      <c r="A1" s="19"/>
      <c r="B1" s="20"/>
      <c r="C1" s="20"/>
      <c r="D1" s="20"/>
      <c r="E1" s="20"/>
      <c r="F1" s="21"/>
      <c r="G1" s="2"/>
      <c r="H1" s="2"/>
      <c r="I1" s="2"/>
      <c r="J1" s="2"/>
      <c r="K1" s="2"/>
      <c r="L1" s="2"/>
      <c r="M1" s="2"/>
      <c r="N1" s="2"/>
      <c r="O1" s="2"/>
      <c r="P1" s="2"/>
      <c r="Q1" s="2"/>
      <c r="R1" s="2"/>
      <c r="S1" s="2"/>
      <c r="T1" s="2"/>
      <c r="U1" s="2"/>
      <c r="V1" s="2"/>
      <c r="W1" s="2"/>
      <c r="X1" s="2"/>
      <c r="Y1" s="2"/>
      <c r="Z1" s="28"/>
    </row>
    <row r="2" spans="1:26" ht="15" customHeight="1" x14ac:dyDescent="0.3">
      <c r="A2" s="22"/>
      <c r="B2" s="23"/>
      <c r="C2" s="23"/>
      <c r="D2" s="23"/>
      <c r="E2" s="23"/>
      <c r="F2" s="24"/>
      <c r="G2" s="2"/>
      <c r="H2" s="2"/>
      <c r="I2" s="2"/>
      <c r="J2" s="2"/>
      <c r="K2" s="2"/>
      <c r="L2" s="2"/>
      <c r="M2" s="2"/>
      <c r="N2" s="2"/>
      <c r="O2" s="2"/>
      <c r="P2" s="2"/>
      <c r="Q2" s="2"/>
      <c r="R2" s="2"/>
      <c r="S2" s="2"/>
      <c r="T2" s="2"/>
      <c r="U2" s="2"/>
      <c r="V2" s="2"/>
      <c r="W2" s="2"/>
      <c r="X2" s="2"/>
      <c r="Y2" s="2"/>
      <c r="Z2" s="28"/>
    </row>
    <row r="3" spans="1:26" ht="15" customHeight="1" x14ac:dyDescent="0.3">
      <c r="A3" s="60"/>
      <c r="B3" s="59"/>
      <c r="C3" s="59"/>
      <c r="D3" s="59"/>
      <c r="E3" s="59"/>
      <c r="F3" s="61"/>
      <c r="G3" s="2"/>
      <c r="H3" s="2"/>
      <c r="I3" s="2"/>
      <c r="J3" s="2"/>
      <c r="K3" s="2"/>
      <c r="L3" s="2"/>
      <c r="M3" s="2"/>
      <c r="N3" s="2"/>
      <c r="O3" s="2"/>
      <c r="P3" s="2"/>
      <c r="Q3" s="2"/>
      <c r="R3" s="2"/>
      <c r="S3" s="2"/>
      <c r="T3" s="2"/>
      <c r="U3" s="2"/>
      <c r="V3" s="2"/>
      <c r="W3" s="2"/>
      <c r="X3" s="2"/>
      <c r="Y3" s="2"/>
      <c r="Z3" s="28"/>
    </row>
    <row r="4" spans="1:26" ht="15" customHeight="1" x14ac:dyDescent="0.3">
      <c r="A4" s="60"/>
      <c r="B4" s="59"/>
      <c r="C4" s="59"/>
      <c r="D4" s="59"/>
      <c r="E4" s="59"/>
      <c r="F4" s="61"/>
      <c r="G4" s="2"/>
      <c r="H4" s="2"/>
      <c r="I4" s="2"/>
      <c r="J4" s="2"/>
      <c r="K4" s="2"/>
      <c r="L4" s="2"/>
      <c r="M4" s="2"/>
      <c r="N4" s="2"/>
      <c r="O4" s="2"/>
      <c r="P4" s="2"/>
      <c r="Q4" s="2"/>
      <c r="R4" s="2"/>
      <c r="S4" s="2"/>
      <c r="T4" s="2"/>
      <c r="U4" s="2"/>
      <c r="V4" s="2"/>
      <c r="W4" s="2"/>
      <c r="X4" s="2"/>
      <c r="Y4" s="2"/>
      <c r="Z4" s="28"/>
    </row>
    <row r="5" spans="1:26" ht="15" customHeight="1" x14ac:dyDescent="0.3">
      <c r="A5" s="60"/>
      <c r="B5" s="59"/>
      <c r="C5" s="59"/>
      <c r="D5" s="59"/>
      <c r="E5" s="59"/>
      <c r="F5" s="61"/>
      <c r="G5" s="2"/>
      <c r="H5" s="2"/>
      <c r="I5" s="2"/>
      <c r="J5" s="2"/>
      <c r="K5" s="2"/>
      <c r="L5" s="2"/>
      <c r="M5" s="2"/>
      <c r="N5" s="2"/>
      <c r="O5" s="2"/>
      <c r="P5" s="2"/>
      <c r="Q5" s="2"/>
      <c r="R5" s="2"/>
      <c r="S5" s="2"/>
      <c r="T5" s="2"/>
      <c r="U5" s="2"/>
      <c r="V5" s="2"/>
      <c r="W5" s="2"/>
      <c r="X5" s="2"/>
      <c r="Y5" s="2"/>
      <c r="Z5" s="28"/>
    </row>
    <row r="6" spans="1:26" ht="15" customHeight="1" x14ac:dyDescent="0.3">
      <c r="A6" s="60"/>
      <c r="B6" s="59"/>
      <c r="C6" s="59"/>
      <c r="D6" s="59"/>
      <c r="E6" s="59"/>
      <c r="F6" s="61"/>
      <c r="G6" s="2"/>
      <c r="H6" s="2"/>
      <c r="I6" s="2"/>
      <c r="J6" s="2"/>
      <c r="K6" s="2"/>
      <c r="L6" s="2"/>
      <c r="M6" s="2"/>
      <c r="N6" s="2"/>
      <c r="O6" s="2"/>
      <c r="P6" s="2"/>
      <c r="Q6" s="2"/>
      <c r="R6" s="2"/>
      <c r="S6" s="2"/>
      <c r="T6" s="2"/>
      <c r="U6" s="2"/>
      <c r="V6" s="2"/>
      <c r="W6" s="2"/>
      <c r="X6" s="2"/>
      <c r="Y6" s="2"/>
      <c r="Z6" s="28"/>
    </row>
    <row r="7" spans="1:26" ht="15" customHeight="1" x14ac:dyDescent="0.3">
      <c r="A7" s="60"/>
      <c r="B7" s="59"/>
      <c r="C7" s="59"/>
      <c r="D7" s="59"/>
      <c r="E7" s="59"/>
      <c r="F7" s="61"/>
      <c r="G7" s="2"/>
      <c r="H7" s="2"/>
      <c r="I7" s="2"/>
      <c r="J7" s="2"/>
      <c r="K7" s="2"/>
      <c r="L7" s="2"/>
      <c r="M7" s="2"/>
      <c r="N7" s="2"/>
      <c r="O7" s="2"/>
      <c r="P7" s="2"/>
      <c r="Q7" s="2"/>
      <c r="R7" s="2"/>
      <c r="S7" s="2"/>
      <c r="T7" s="2"/>
      <c r="U7" s="2"/>
      <c r="V7" s="2"/>
      <c r="W7" s="2"/>
      <c r="X7" s="2"/>
      <c r="Y7" s="2"/>
      <c r="Z7" s="28"/>
    </row>
    <row r="8" spans="1:26" ht="15.6" customHeight="1" x14ac:dyDescent="0.3">
      <c r="A8" s="35"/>
      <c r="B8" s="97" t="s">
        <v>97</v>
      </c>
      <c r="C8" s="98"/>
      <c r="D8" s="98"/>
      <c r="E8" s="99"/>
      <c r="F8" s="24"/>
      <c r="G8" s="2"/>
      <c r="H8" s="2"/>
      <c r="I8" s="2"/>
      <c r="J8" s="2"/>
      <c r="K8" s="2"/>
      <c r="L8" s="2"/>
      <c r="M8" s="2"/>
      <c r="N8" s="2"/>
      <c r="O8" s="2"/>
      <c r="P8" s="2"/>
      <c r="Q8" s="2"/>
      <c r="R8" s="2"/>
      <c r="S8" s="2"/>
      <c r="T8" s="2"/>
      <c r="U8" s="2"/>
      <c r="V8" s="2"/>
      <c r="W8" s="2"/>
      <c r="X8" s="2"/>
      <c r="Y8" s="2"/>
      <c r="Z8" s="28"/>
    </row>
    <row r="9" spans="1:26" ht="15.6" customHeight="1" x14ac:dyDescent="0.3">
      <c r="A9" s="35"/>
      <c r="B9" s="72" t="s">
        <v>98</v>
      </c>
      <c r="C9" s="100" t="s">
        <v>99</v>
      </c>
      <c r="D9" s="98"/>
      <c r="E9" s="99"/>
      <c r="F9" s="24"/>
      <c r="G9" s="2"/>
      <c r="H9" s="2"/>
      <c r="I9" s="2"/>
      <c r="J9" s="2"/>
      <c r="K9" s="2"/>
      <c r="L9" s="2"/>
      <c r="M9" s="2"/>
      <c r="N9" s="2"/>
      <c r="O9" s="2"/>
      <c r="P9" s="2"/>
      <c r="Q9" s="2"/>
      <c r="R9" s="2"/>
      <c r="S9" s="2"/>
      <c r="T9" s="2"/>
      <c r="U9" s="2"/>
      <c r="V9" s="2"/>
      <c r="W9" s="2"/>
      <c r="X9" s="2"/>
      <c r="Y9" s="2"/>
      <c r="Z9" s="28"/>
    </row>
    <row r="10" spans="1:26" ht="15.6" customHeight="1" x14ac:dyDescent="0.3">
      <c r="A10" s="35"/>
      <c r="B10" s="73" t="s">
        <v>1</v>
      </c>
      <c r="C10" s="105" t="s">
        <v>100</v>
      </c>
      <c r="D10" s="98"/>
      <c r="E10" s="99"/>
      <c r="F10" s="24"/>
      <c r="G10" s="2"/>
      <c r="H10" s="2"/>
      <c r="I10" s="2"/>
      <c r="J10" s="2"/>
      <c r="K10" s="2"/>
      <c r="L10" s="2"/>
      <c r="M10" s="2"/>
      <c r="N10" s="2"/>
      <c r="O10" s="2"/>
      <c r="P10" s="2"/>
      <c r="Q10" s="2"/>
      <c r="R10" s="2"/>
      <c r="S10" s="2"/>
      <c r="T10" s="2"/>
      <c r="U10" s="2"/>
      <c r="V10" s="2"/>
      <c r="W10" s="2"/>
      <c r="X10" s="2"/>
      <c r="Y10" s="2"/>
      <c r="Z10" s="28"/>
    </row>
    <row r="11" spans="1:26" ht="15.6" customHeight="1" x14ac:dyDescent="0.3">
      <c r="A11" s="35"/>
      <c r="B11" s="73" t="s">
        <v>2</v>
      </c>
      <c r="C11" s="105" t="s">
        <v>101</v>
      </c>
      <c r="D11" s="98"/>
      <c r="E11" s="99"/>
      <c r="F11" s="24"/>
      <c r="G11" s="2"/>
      <c r="H11" s="2"/>
      <c r="I11" s="2"/>
      <c r="J11" s="2"/>
      <c r="K11" s="2"/>
      <c r="L11" s="2"/>
      <c r="M11" s="2"/>
      <c r="N11" s="2"/>
      <c r="O11" s="2"/>
      <c r="P11" s="2"/>
      <c r="Q11" s="2"/>
      <c r="R11" s="2"/>
      <c r="S11" s="2"/>
      <c r="T11" s="2"/>
      <c r="U11" s="2"/>
      <c r="V11" s="2"/>
      <c r="W11" s="2"/>
      <c r="X11" s="2"/>
      <c r="Y11" s="2"/>
      <c r="Z11" s="28"/>
    </row>
    <row r="12" spans="1:26" ht="15.6" customHeight="1" x14ac:dyDescent="0.3">
      <c r="A12" s="35"/>
      <c r="B12" s="73" t="s">
        <v>3</v>
      </c>
      <c r="C12" s="105" t="s">
        <v>102</v>
      </c>
      <c r="D12" s="98"/>
      <c r="E12" s="99"/>
      <c r="F12" s="24"/>
      <c r="G12" s="2"/>
      <c r="H12" s="2"/>
      <c r="I12" s="2"/>
      <c r="J12" s="2"/>
      <c r="K12" s="2"/>
      <c r="L12" s="2"/>
      <c r="M12" s="2"/>
      <c r="N12" s="2"/>
      <c r="O12" s="2"/>
      <c r="P12" s="2"/>
      <c r="Q12" s="2"/>
      <c r="R12" s="2"/>
      <c r="S12" s="2"/>
      <c r="T12" s="2"/>
      <c r="U12" s="2"/>
      <c r="V12" s="2"/>
      <c r="W12" s="2"/>
      <c r="X12" s="2"/>
      <c r="Y12" s="2"/>
      <c r="Z12" s="28"/>
    </row>
    <row r="13" spans="1:26" ht="15.6" customHeight="1" x14ac:dyDescent="0.3">
      <c r="A13" s="35"/>
      <c r="B13" s="73" t="s">
        <v>4</v>
      </c>
      <c r="C13" s="105" t="s">
        <v>4</v>
      </c>
      <c r="D13" s="98"/>
      <c r="E13" s="99"/>
      <c r="F13" s="24"/>
      <c r="G13" s="2"/>
      <c r="H13" s="2"/>
      <c r="I13" s="2"/>
      <c r="J13" s="2"/>
      <c r="K13" s="2"/>
      <c r="L13" s="2"/>
      <c r="M13" s="2"/>
      <c r="N13" s="2"/>
      <c r="O13" s="2"/>
      <c r="P13" s="2"/>
      <c r="Q13" s="2"/>
      <c r="R13" s="2"/>
      <c r="S13" s="2"/>
      <c r="T13" s="2"/>
      <c r="U13" s="2"/>
      <c r="V13" s="2"/>
      <c r="W13" s="2"/>
      <c r="X13" s="2"/>
      <c r="Y13" s="2"/>
      <c r="Z13" s="28"/>
    </row>
    <row r="14" spans="1:26" ht="15.6" customHeight="1" x14ac:dyDescent="0.3">
      <c r="A14" s="35"/>
      <c r="B14" s="73" t="s">
        <v>5</v>
      </c>
      <c r="C14" s="105" t="s">
        <v>103</v>
      </c>
      <c r="D14" s="98"/>
      <c r="E14" s="99"/>
      <c r="F14" s="24"/>
      <c r="G14" s="2"/>
      <c r="H14" s="2"/>
      <c r="I14" s="2"/>
      <c r="J14" s="2"/>
      <c r="K14" s="2"/>
      <c r="L14" s="2"/>
      <c r="M14" s="2"/>
      <c r="N14" s="2"/>
      <c r="O14" s="2"/>
      <c r="P14" s="2"/>
      <c r="Q14" s="2"/>
      <c r="R14" s="2"/>
      <c r="S14" s="2"/>
      <c r="T14" s="2"/>
      <c r="U14" s="2"/>
      <c r="V14" s="2"/>
      <c r="W14" s="2"/>
      <c r="X14" s="2"/>
      <c r="Y14" s="2"/>
      <c r="Z14" s="28"/>
    </row>
    <row r="15" spans="1:26" ht="15.6" customHeight="1" x14ac:dyDescent="0.3">
      <c r="A15" s="35"/>
      <c r="B15" s="73" t="s">
        <v>6</v>
      </c>
      <c r="C15" s="105" t="s">
        <v>104</v>
      </c>
      <c r="D15" s="98"/>
      <c r="E15" s="99"/>
      <c r="F15" s="24"/>
      <c r="G15" s="2"/>
      <c r="H15" s="2"/>
      <c r="I15" s="2"/>
      <c r="J15" s="2"/>
      <c r="K15" s="2"/>
      <c r="L15" s="2"/>
      <c r="M15" s="2"/>
      <c r="N15" s="2"/>
      <c r="O15" s="2"/>
      <c r="P15" s="2"/>
      <c r="Q15" s="2"/>
      <c r="R15" s="2"/>
      <c r="S15" s="2"/>
      <c r="T15" s="2"/>
      <c r="U15" s="2"/>
      <c r="V15" s="2"/>
      <c r="W15" s="2"/>
      <c r="X15" s="2"/>
      <c r="Y15" s="2"/>
      <c r="Z15" s="28"/>
    </row>
    <row r="16" spans="1:26" ht="15.6" customHeight="1" x14ac:dyDescent="0.3">
      <c r="A16" s="35"/>
      <c r="B16" s="73" t="s">
        <v>7</v>
      </c>
      <c r="C16" s="106" t="s">
        <v>105</v>
      </c>
      <c r="D16" s="98"/>
      <c r="E16" s="99"/>
      <c r="F16" s="24"/>
      <c r="G16" s="2"/>
      <c r="H16" s="2"/>
      <c r="I16" s="2"/>
      <c r="J16" s="2"/>
      <c r="K16" s="2"/>
      <c r="L16" s="2"/>
      <c r="M16" s="2"/>
      <c r="N16" s="2"/>
      <c r="O16" s="2"/>
      <c r="P16" s="2"/>
      <c r="Q16" s="2"/>
      <c r="R16" s="2"/>
      <c r="S16" s="2"/>
      <c r="T16" s="2"/>
      <c r="U16" s="2"/>
      <c r="V16" s="2"/>
      <c r="W16" s="2"/>
      <c r="X16" s="2"/>
      <c r="Y16" s="2"/>
      <c r="Z16" s="28"/>
    </row>
    <row r="17" spans="1:26" ht="15.6" customHeight="1" x14ac:dyDescent="0.3">
      <c r="A17" s="35"/>
      <c r="B17" s="73" t="s">
        <v>8</v>
      </c>
      <c r="C17" s="105" t="s">
        <v>106</v>
      </c>
      <c r="D17" s="98"/>
      <c r="E17" s="99"/>
      <c r="F17" s="24"/>
      <c r="G17" s="2"/>
      <c r="H17" s="2"/>
      <c r="I17" s="2"/>
      <c r="J17" s="2"/>
      <c r="K17" s="2"/>
      <c r="L17" s="2"/>
      <c r="M17" s="2"/>
      <c r="N17" s="2"/>
      <c r="O17" s="2"/>
      <c r="P17" s="2"/>
      <c r="Q17" s="2"/>
      <c r="R17" s="2"/>
      <c r="S17" s="2"/>
      <c r="T17" s="2"/>
      <c r="U17" s="2"/>
      <c r="V17" s="2"/>
      <c r="W17" s="2"/>
      <c r="X17" s="2"/>
      <c r="Y17" s="2"/>
      <c r="Z17" s="28"/>
    </row>
    <row r="18" spans="1:26" ht="15.6" customHeight="1" x14ac:dyDescent="0.3">
      <c r="A18" s="35"/>
      <c r="B18" s="73" t="s">
        <v>9</v>
      </c>
      <c r="C18" s="105" t="s">
        <v>107</v>
      </c>
      <c r="D18" s="98"/>
      <c r="E18" s="99"/>
      <c r="F18" s="24"/>
      <c r="G18" s="2"/>
      <c r="H18" s="2"/>
      <c r="I18" s="2"/>
      <c r="J18" s="2"/>
      <c r="K18" s="2"/>
      <c r="L18" s="2"/>
      <c r="M18" s="2"/>
      <c r="N18" s="2"/>
      <c r="O18" s="2"/>
      <c r="P18" s="2"/>
      <c r="Q18" s="2"/>
      <c r="R18" s="2"/>
      <c r="S18" s="2"/>
      <c r="T18" s="2"/>
      <c r="U18" s="2"/>
      <c r="V18" s="2"/>
      <c r="W18" s="2"/>
      <c r="X18" s="2"/>
      <c r="Y18" s="2"/>
      <c r="Z18" s="28"/>
    </row>
    <row r="19" spans="1:26" ht="15.6" customHeight="1" x14ac:dyDescent="0.3">
      <c r="A19" s="35"/>
      <c r="B19" s="73" t="s">
        <v>10</v>
      </c>
      <c r="C19" s="105" t="s">
        <v>108</v>
      </c>
      <c r="D19" s="98"/>
      <c r="E19" s="99"/>
      <c r="F19" s="24"/>
      <c r="G19" s="2"/>
      <c r="H19" s="2"/>
      <c r="I19" s="2"/>
      <c r="J19" s="2"/>
      <c r="K19" s="2"/>
      <c r="L19" s="2"/>
      <c r="M19" s="2"/>
      <c r="N19" s="2"/>
      <c r="O19" s="2"/>
      <c r="P19" s="2"/>
      <c r="Q19" s="2"/>
      <c r="R19" s="2"/>
      <c r="S19" s="2"/>
      <c r="T19" s="2"/>
      <c r="U19" s="2"/>
      <c r="V19" s="2"/>
      <c r="W19" s="2"/>
      <c r="X19" s="2"/>
      <c r="Y19" s="2"/>
      <c r="Z19" s="28"/>
    </row>
    <row r="20" spans="1:26" ht="15.6" customHeight="1" x14ac:dyDescent="0.3">
      <c r="A20" s="35"/>
      <c r="B20" s="73" t="s">
        <v>11</v>
      </c>
      <c r="C20" s="105" t="s">
        <v>109</v>
      </c>
      <c r="D20" s="98"/>
      <c r="E20" s="99"/>
      <c r="F20" s="24"/>
      <c r="G20" s="2"/>
      <c r="H20" s="2"/>
      <c r="I20" s="2"/>
      <c r="J20" s="2"/>
      <c r="K20" s="2"/>
      <c r="L20" s="2"/>
      <c r="M20" s="2"/>
      <c r="N20" s="2"/>
      <c r="O20" s="2"/>
      <c r="P20" s="2"/>
      <c r="Q20" s="2"/>
      <c r="R20" s="2"/>
      <c r="S20" s="2"/>
      <c r="T20" s="2"/>
      <c r="U20" s="2"/>
      <c r="V20" s="2"/>
      <c r="W20" s="2"/>
      <c r="X20" s="2"/>
      <c r="Y20" s="2"/>
      <c r="Z20" s="28"/>
    </row>
    <row r="21" spans="1:26" ht="15.6" customHeight="1" x14ac:dyDescent="0.3">
      <c r="A21" s="35"/>
      <c r="B21" s="73" t="s">
        <v>12</v>
      </c>
      <c r="C21" s="105" t="s">
        <v>110</v>
      </c>
      <c r="D21" s="98"/>
      <c r="E21" s="99"/>
      <c r="F21" s="24"/>
      <c r="G21" s="2"/>
      <c r="H21" s="2"/>
      <c r="I21" s="2"/>
      <c r="J21" s="2"/>
      <c r="K21" s="2"/>
      <c r="L21" s="2"/>
      <c r="M21" s="2"/>
      <c r="N21" s="2"/>
      <c r="O21" s="2"/>
      <c r="P21" s="2"/>
      <c r="Q21" s="2"/>
      <c r="R21" s="2"/>
      <c r="S21" s="2"/>
      <c r="T21" s="2"/>
      <c r="U21" s="2"/>
      <c r="V21" s="2"/>
      <c r="W21" s="2"/>
      <c r="X21" s="2"/>
      <c r="Y21" s="2"/>
      <c r="Z21" s="28"/>
    </row>
    <row r="22" spans="1:26" ht="31.2" customHeight="1" x14ac:dyDescent="0.3">
      <c r="A22" s="35"/>
      <c r="B22" s="73" t="s">
        <v>111</v>
      </c>
      <c r="C22" s="105" t="s">
        <v>112</v>
      </c>
      <c r="D22" s="98"/>
      <c r="E22" s="99"/>
      <c r="F22" s="24"/>
      <c r="G22" s="2"/>
      <c r="H22" s="2"/>
      <c r="I22" s="2"/>
      <c r="J22" s="2"/>
      <c r="K22" s="2"/>
      <c r="L22" s="2"/>
      <c r="M22" s="2"/>
      <c r="N22" s="2"/>
      <c r="O22" s="2"/>
      <c r="P22" s="2"/>
      <c r="Q22" s="2"/>
      <c r="R22" s="2"/>
      <c r="S22" s="2"/>
      <c r="T22" s="2"/>
      <c r="U22" s="2"/>
      <c r="V22" s="2"/>
      <c r="W22" s="2"/>
      <c r="X22" s="2"/>
      <c r="Y22" s="2"/>
      <c r="Z22" s="28"/>
    </row>
    <row r="23" spans="1:26" ht="31.2" customHeight="1" x14ac:dyDescent="0.3">
      <c r="A23" s="35"/>
      <c r="B23" s="73" t="s">
        <v>13</v>
      </c>
      <c r="C23" s="105" t="s">
        <v>113</v>
      </c>
      <c r="D23" s="98"/>
      <c r="E23" s="99"/>
      <c r="F23" s="24"/>
      <c r="G23" s="2"/>
      <c r="H23" s="2"/>
      <c r="I23" s="2"/>
      <c r="J23" s="2"/>
      <c r="K23" s="2"/>
      <c r="L23" s="2"/>
      <c r="M23" s="2"/>
      <c r="N23" s="2"/>
      <c r="O23" s="2"/>
      <c r="P23" s="2"/>
      <c r="Q23" s="2"/>
      <c r="R23" s="2"/>
      <c r="S23" s="2"/>
      <c r="T23" s="2"/>
      <c r="U23" s="2"/>
      <c r="V23" s="2"/>
      <c r="W23" s="2"/>
      <c r="X23" s="2"/>
      <c r="Y23" s="2"/>
      <c r="Z23" s="28"/>
    </row>
    <row r="24" spans="1:26" ht="15.6" customHeight="1" x14ac:dyDescent="0.3">
      <c r="A24" s="35"/>
      <c r="B24" s="73" t="s">
        <v>14</v>
      </c>
      <c r="C24" s="105" t="s">
        <v>114</v>
      </c>
      <c r="D24" s="98"/>
      <c r="E24" s="99"/>
      <c r="F24" s="24"/>
      <c r="G24" s="2"/>
      <c r="H24" s="2"/>
      <c r="I24" s="2"/>
      <c r="J24" s="2"/>
      <c r="K24" s="2"/>
      <c r="L24" s="2"/>
      <c r="M24" s="2"/>
      <c r="N24" s="2"/>
      <c r="O24" s="2"/>
      <c r="P24" s="2"/>
      <c r="Q24" s="2"/>
      <c r="R24" s="2"/>
      <c r="S24" s="2"/>
      <c r="T24" s="2"/>
      <c r="U24" s="2"/>
      <c r="V24" s="2"/>
      <c r="W24" s="2"/>
      <c r="X24" s="2"/>
      <c r="Y24" s="2"/>
      <c r="Z24" s="28"/>
    </row>
    <row r="25" spans="1:26" ht="15.6" customHeight="1" x14ac:dyDescent="0.3">
      <c r="A25" s="35"/>
      <c r="B25" s="73" t="s">
        <v>15</v>
      </c>
      <c r="C25" s="105" t="s">
        <v>115</v>
      </c>
      <c r="D25" s="98"/>
      <c r="E25" s="99"/>
      <c r="F25" s="24"/>
      <c r="G25" s="2"/>
      <c r="H25" s="2"/>
      <c r="I25" s="2"/>
      <c r="J25" s="2"/>
      <c r="K25" s="2"/>
      <c r="L25" s="2"/>
      <c r="M25" s="2"/>
      <c r="N25" s="2"/>
      <c r="O25" s="2"/>
      <c r="P25" s="2"/>
      <c r="Q25" s="2"/>
      <c r="R25" s="2"/>
      <c r="S25" s="2"/>
      <c r="T25" s="2"/>
      <c r="U25" s="2"/>
      <c r="V25" s="2"/>
      <c r="W25" s="2"/>
      <c r="X25" s="2"/>
      <c r="Y25" s="2"/>
      <c r="Z25" s="28"/>
    </row>
    <row r="26" spans="1:26" ht="15.6" customHeight="1" x14ac:dyDescent="0.3">
      <c r="A26" s="35"/>
      <c r="B26" s="73" t="s">
        <v>16</v>
      </c>
      <c r="C26" s="105" t="s">
        <v>116</v>
      </c>
      <c r="D26" s="98"/>
      <c r="E26" s="99"/>
      <c r="F26" s="24"/>
      <c r="G26" s="2"/>
      <c r="H26" s="2"/>
      <c r="I26" s="2"/>
      <c r="J26" s="2"/>
      <c r="K26" s="2"/>
      <c r="L26" s="2"/>
      <c r="M26" s="2"/>
      <c r="N26" s="2"/>
      <c r="O26" s="2"/>
      <c r="P26" s="2"/>
      <c r="Q26" s="2"/>
      <c r="R26" s="2"/>
      <c r="S26" s="2"/>
      <c r="T26" s="2"/>
      <c r="U26" s="2"/>
      <c r="V26" s="2"/>
      <c r="W26" s="2"/>
      <c r="X26" s="2"/>
      <c r="Y26" s="2"/>
      <c r="Z26" s="28"/>
    </row>
    <row r="27" spans="1:26" ht="15.6" customHeight="1" x14ac:dyDescent="0.3">
      <c r="A27" s="35"/>
      <c r="B27" s="73" t="s">
        <v>17</v>
      </c>
      <c r="C27" s="105" t="s">
        <v>117</v>
      </c>
      <c r="D27" s="98"/>
      <c r="E27" s="99"/>
      <c r="F27" s="24"/>
      <c r="G27" s="2"/>
      <c r="H27" s="2"/>
      <c r="I27" s="2"/>
      <c r="J27" s="2"/>
      <c r="K27" s="2"/>
      <c r="L27" s="2"/>
      <c r="M27" s="2"/>
      <c r="N27" s="2"/>
      <c r="O27" s="2"/>
      <c r="P27" s="2"/>
      <c r="Q27" s="2"/>
      <c r="R27" s="2"/>
      <c r="S27" s="2"/>
      <c r="T27" s="2"/>
      <c r="U27" s="2"/>
      <c r="V27" s="2"/>
      <c r="W27" s="2"/>
      <c r="X27" s="2"/>
      <c r="Y27" s="2"/>
      <c r="Z27" s="28"/>
    </row>
    <row r="28" spans="1:26" ht="15.6" customHeight="1" x14ac:dyDescent="0.3">
      <c r="A28" s="35"/>
      <c r="B28" s="73" t="s">
        <v>18</v>
      </c>
      <c r="C28" s="105" t="s">
        <v>18</v>
      </c>
      <c r="D28" s="98"/>
      <c r="E28" s="99"/>
      <c r="F28" s="24"/>
      <c r="G28" s="2"/>
      <c r="H28" s="2"/>
      <c r="I28" s="2"/>
      <c r="J28" s="2"/>
      <c r="K28" s="2"/>
      <c r="L28" s="2"/>
      <c r="M28" s="2"/>
      <c r="N28" s="2"/>
      <c r="O28" s="2"/>
      <c r="P28" s="2"/>
      <c r="Q28" s="2"/>
      <c r="R28" s="2"/>
      <c r="S28" s="2"/>
      <c r="T28" s="2"/>
      <c r="U28" s="2"/>
      <c r="V28" s="2"/>
      <c r="W28" s="2"/>
      <c r="X28" s="2"/>
      <c r="Y28" s="2"/>
      <c r="Z28" s="28"/>
    </row>
    <row r="29" spans="1:26" ht="15.6" customHeight="1" x14ac:dyDescent="0.3">
      <c r="A29" s="35"/>
      <c r="B29" s="73" t="s">
        <v>19</v>
      </c>
      <c r="C29" s="105" t="s">
        <v>118</v>
      </c>
      <c r="D29" s="98"/>
      <c r="E29" s="99"/>
      <c r="F29" s="24"/>
      <c r="G29" s="2"/>
      <c r="H29" s="2"/>
      <c r="I29" s="2"/>
      <c r="J29" s="2"/>
      <c r="K29" s="2"/>
      <c r="L29" s="2"/>
      <c r="M29" s="2"/>
      <c r="N29" s="2"/>
      <c r="O29" s="2"/>
      <c r="P29" s="2"/>
      <c r="Q29" s="2"/>
      <c r="R29" s="2"/>
      <c r="S29" s="2"/>
      <c r="T29" s="2"/>
      <c r="U29" s="2"/>
      <c r="V29" s="2"/>
      <c r="W29" s="2"/>
      <c r="X29" s="2"/>
      <c r="Y29" s="2"/>
      <c r="Z29" s="28"/>
    </row>
    <row r="30" spans="1:26" ht="15.6" customHeight="1" x14ac:dyDescent="0.3">
      <c r="A30" s="35"/>
      <c r="B30" s="73" t="s">
        <v>20</v>
      </c>
      <c r="C30" s="105" t="s">
        <v>119</v>
      </c>
      <c r="D30" s="98"/>
      <c r="E30" s="99"/>
      <c r="F30" s="24"/>
      <c r="G30" s="2"/>
      <c r="H30" s="2"/>
      <c r="I30" s="2"/>
      <c r="J30" s="2"/>
      <c r="K30" s="2"/>
      <c r="L30" s="2"/>
      <c r="M30" s="2"/>
      <c r="N30" s="2"/>
      <c r="O30" s="2"/>
      <c r="P30" s="2"/>
      <c r="Q30" s="2"/>
      <c r="R30" s="2"/>
      <c r="S30" s="2"/>
      <c r="T30" s="2"/>
      <c r="U30" s="2"/>
      <c r="V30" s="2"/>
      <c r="W30" s="2"/>
      <c r="X30" s="2"/>
      <c r="Y30" s="2"/>
      <c r="Z30" s="28"/>
    </row>
    <row r="31" spans="1:26" ht="15.6" customHeight="1" x14ac:dyDescent="0.3">
      <c r="A31" s="35"/>
      <c r="B31" s="73" t="s">
        <v>120</v>
      </c>
      <c r="C31" s="105" t="s">
        <v>121</v>
      </c>
      <c r="D31" s="98"/>
      <c r="E31" s="99"/>
      <c r="F31" s="24"/>
      <c r="G31" s="2"/>
      <c r="H31" s="2"/>
      <c r="I31" s="2"/>
      <c r="J31" s="2"/>
      <c r="K31" s="2"/>
      <c r="L31" s="2"/>
      <c r="M31" s="2"/>
      <c r="N31" s="2"/>
      <c r="O31" s="2"/>
      <c r="P31" s="2"/>
      <c r="Q31" s="2"/>
      <c r="R31" s="2"/>
      <c r="S31" s="2"/>
      <c r="T31" s="2"/>
      <c r="U31" s="2"/>
      <c r="V31" s="2"/>
      <c r="W31" s="2"/>
      <c r="X31" s="2"/>
      <c r="Y31" s="2"/>
      <c r="Z31" s="28"/>
    </row>
    <row r="32" spans="1:26" ht="15.6" customHeight="1" x14ac:dyDescent="0.3">
      <c r="A32" s="35"/>
      <c r="B32" s="73" t="s">
        <v>22</v>
      </c>
      <c r="C32" s="105" t="s">
        <v>122</v>
      </c>
      <c r="D32" s="98"/>
      <c r="E32" s="99"/>
      <c r="F32" s="24"/>
      <c r="G32" s="2"/>
      <c r="H32" s="2"/>
      <c r="I32" s="2"/>
      <c r="J32" s="2"/>
      <c r="K32" s="2"/>
      <c r="L32" s="2"/>
      <c r="M32" s="2"/>
      <c r="N32" s="2"/>
      <c r="O32" s="2"/>
      <c r="P32" s="2"/>
      <c r="Q32" s="2"/>
      <c r="R32" s="2"/>
      <c r="S32" s="2"/>
      <c r="T32" s="2"/>
      <c r="U32" s="2"/>
      <c r="V32" s="2"/>
      <c r="W32" s="2"/>
      <c r="X32" s="2"/>
      <c r="Y32" s="2"/>
      <c r="Z32" s="28"/>
    </row>
    <row r="33" spans="1:26" ht="15.6" customHeight="1" x14ac:dyDescent="0.3">
      <c r="A33" s="35"/>
      <c r="B33" s="73" t="s">
        <v>23</v>
      </c>
      <c r="C33" s="105" t="s">
        <v>123</v>
      </c>
      <c r="D33" s="98"/>
      <c r="E33" s="99"/>
      <c r="F33" s="24"/>
      <c r="G33" s="2"/>
      <c r="H33" s="2"/>
      <c r="I33" s="2"/>
      <c r="J33" s="2"/>
      <c r="K33" s="2"/>
      <c r="L33" s="2"/>
      <c r="M33" s="2"/>
      <c r="N33" s="2"/>
      <c r="O33" s="2"/>
      <c r="P33" s="2"/>
      <c r="Q33" s="2"/>
      <c r="R33" s="2"/>
      <c r="S33" s="2"/>
      <c r="T33" s="2"/>
      <c r="U33" s="2"/>
      <c r="V33" s="2"/>
      <c r="W33" s="2"/>
      <c r="X33" s="2"/>
      <c r="Y33" s="2"/>
      <c r="Z33" s="28"/>
    </row>
    <row r="34" spans="1:26" ht="15.6" customHeight="1" x14ac:dyDescent="0.3">
      <c r="A34" s="35"/>
      <c r="B34" s="73" t="s">
        <v>24</v>
      </c>
      <c r="C34" s="105" t="s">
        <v>124</v>
      </c>
      <c r="D34" s="98"/>
      <c r="E34" s="99"/>
      <c r="F34" s="24"/>
      <c r="G34" s="2"/>
      <c r="H34" s="2"/>
      <c r="I34" s="2"/>
      <c r="J34" s="2"/>
      <c r="K34" s="2"/>
      <c r="L34" s="2"/>
      <c r="M34" s="2"/>
      <c r="N34" s="2"/>
      <c r="O34" s="2"/>
      <c r="P34" s="2"/>
      <c r="Q34" s="2"/>
      <c r="R34" s="2"/>
      <c r="S34" s="2"/>
      <c r="T34" s="2"/>
      <c r="U34" s="2"/>
      <c r="V34" s="2"/>
      <c r="W34" s="2"/>
      <c r="X34" s="2"/>
      <c r="Y34" s="2"/>
      <c r="Z34" s="28"/>
    </row>
    <row r="35" spans="1:26" ht="15" customHeight="1" x14ac:dyDescent="0.3">
      <c r="A35" s="25"/>
      <c r="B35" s="26"/>
      <c r="C35" s="26"/>
      <c r="D35" s="26"/>
      <c r="E35" s="26"/>
      <c r="F35" s="27"/>
      <c r="G35" s="2"/>
      <c r="H35" s="2"/>
      <c r="I35" s="2"/>
      <c r="J35" s="2"/>
      <c r="K35" s="2"/>
      <c r="L35" s="2"/>
      <c r="M35" s="2"/>
      <c r="N35" s="2"/>
      <c r="O35" s="2"/>
      <c r="P35" s="2"/>
      <c r="Q35" s="2"/>
      <c r="R35" s="2"/>
      <c r="S35" s="2"/>
      <c r="T35" s="2"/>
      <c r="U35" s="2"/>
      <c r="V35" s="2"/>
      <c r="W35" s="2"/>
      <c r="X35" s="2"/>
      <c r="Y35" s="2"/>
      <c r="Z35" s="28"/>
    </row>
    <row r="36" spans="1:26" ht="1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8"/>
    </row>
    <row r="37" spans="1:26" ht="1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8"/>
    </row>
    <row r="38" spans="1:26" ht="1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8"/>
    </row>
    <row r="39" spans="1:26" ht="1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8"/>
    </row>
    <row r="40" spans="1:26" ht="1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8"/>
    </row>
    <row r="41" spans="1:26" ht="1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8"/>
    </row>
    <row r="42" spans="1:26" ht="1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8"/>
    </row>
    <row r="43" spans="1:26" ht="1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8"/>
    </row>
    <row r="44" spans="1:26" ht="1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8"/>
    </row>
    <row r="45" spans="1:26" ht="1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8"/>
    </row>
    <row r="46" spans="1:26" ht="1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8"/>
    </row>
    <row r="47" spans="1:26" ht="1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8"/>
    </row>
    <row r="48" spans="1:26" ht="1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8"/>
    </row>
    <row r="49" spans="1:26" ht="1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8"/>
    </row>
    <row r="50" spans="1:26" ht="1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8"/>
    </row>
    <row r="51" spans="1:26" ht="1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8"/>
    </row>
    <row r="52" spans="1:26" ht="1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8"/>
    </row>
    <row r="53" spans="1:26" ht="1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8"/>
    </row>
    <row r="54" spans="1:26" ht="1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8"/>
    </row>
    <row r="55" spans="1:26" ht="1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8"/>
    </row>
    <row r="56" spans="1:26" ht="1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8"/>
    </row>
    <row r="57" spans="1:26" ht="1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8"/>
    </row>
    <row r="58" spans="1:26" ht="1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8"/>
    </row>
    <row r="59" spans="1:26" ht="1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8"/>
    </row>
    <row r="60" spans="1:26" ht="1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8"/>
    </row>
    <row r="61" spans="1:26" ht="1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8"/>
    </row>
    <row r="62" spans="1:26" ht="1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8"/>
    </row>
    <row r="63" spans="1:26" ht="1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8"/>
    </row>
    <row r="64" spans="1:26" ht="1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8"/>
    </row>
    <row r="65" spans="1:26" ht="1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8"/>
    </row>
    <row r="66" spans="1:26" ht="1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8"/>
    </row>
    <row r="67" spans="1:26" ht="1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8"/>
    </row>
    <row r="68" spans="1:26" ht="1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8"/>
    </row>
    <row r="69" spans="1:26" ht="1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8"/>
    </row>
    <row r="70" spans="1:26" ht="1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8"/>
    </row>
    <row r="71" spans="1:26" ht="1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8"/>
    </row>
    <row r="72" spans="1:26" ht="1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8"/>
    </row>
    <row r="73" spans="1:26" ht="1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8"/>
    </row>
    <row r="74" spans="1:26" ht="1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8"/>
    </row>
    <row r="75" spans="1:26" ht="1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8"/>
    </row>
    <row r="76" spans="1:26" ht="1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8"/>
    </row>
    <row r="77" spans="1:26" ht="1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8"/>
    </row>
    <row r="78" spans="1:26" ht="1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8"/>
    </row>
    <row r="79" spans="1:26" ht="1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8"/>
    </row>
    <row r="80" spans="1:26" ht="1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8"/>
    </row>
    <row r="81" spans="1:26" ht="1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8"/>
    </row>
    <row r="82" spans="1:26" ht="1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8"/>
    </row>
    <row r="83" spans="1:26" ht="1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8"/>
    </row>
    <row r="84" spans="1:26" ht="1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8"/>
    </row>
    <row r="85" spans="1:26" ht="1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8"/>
    </row>
    <row r="86" spans="1:26" ht="1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8"/>
    </row>
    <row r="87" spans="1:26" ht="1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8"/>
    </row>
    <row r="88" spans="1:26" ht="1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8"/>
    </row>
    <row r="89" spans="1:26" ht="1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8"/>
    </row>
    <row r="90" spans="1:26" ht="1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8"/>
    </row>
    <row r="91" spans="1:26" ht="1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8"/>
    </row>
    <row r="92" spans="1:26" ht="1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8"/>
    </row>
    <row r="93" spans="1:26" ht="1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8"/>
    </row>
    <row r="94" spans="1:26" ht="1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8"/>
    </row>
    <row r="95" spans="1:26" ht="1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8"/>
    </row>
    <row r="96" spans="1:26" ht="1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8"/>
    </row>
    <row r="97" spans="1:26" ht="1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8"/>
    </row>
    <row r="98" spans="1:26" ht="1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8"/>
    </row>
    <row r="99" spans="1:26" ht="1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8"/>
    </row>
    <row r="100" spans="1:26" ht="1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8"/>
    </row>
    <row r="101" spans="1:26" ht="1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8"/>
    </row>
    <row r="102" spans="1:26" ht="1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8"/>
    </row>
    <row r="103" spans="1:26" ht="1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8"/>
    </row>
    <row r="104" spans="1:26" ht="1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8"/>
    </row>
    <row r="105" spans="1:26" ht="1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8"/>
    </row>
    <row r="106" spans="1:26" ht="1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8"/>
    </row>
    <row r="107" spans="1:26" ht="1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8"/>
    </row>
    <row r="108" spans="1:26" ht="1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8"/>
    </row>
    <row r="109" spans="1:26" ht="1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8"/>
    </row>
    <row r="110" spans="1:26" ht="1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8"/>
    </row>
    <row r="111" spans="1:26" ht="1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8"/>
    </row>
    <row r="112" spans="1:26" ht="1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8"/>
    </row>
    <row r="113" spans="1:26" ht="1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8"/>
    </row>
    <row r="114" spans="1:26" ht="1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8"/>
    </row>
    <row r="115" spans="1:26" ht="1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8"/>
    </row>
    <row r="116" spans="1:26" ht="1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8"/>
    </row>
    <row r="117" spans="1:26" ht="1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8"/>
    </row>
    <row r="118" spans="1:26" ht="1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8"/>
    </row>
    <row r="119" spans="1:26" ht="1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8"/>
    </row>
    <row r="120" spans="1:26" ht="1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8"/>
    </row>
    <row r="121" spans="1:26" ht="1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8"/>
    </row>
    <row r="122" spans="1:26" ht="1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8"/>
    </row>
    <row r="123" spans="1:26" ht="1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8"/>
    </row>
    <row r="124" spans="1:26" ht="1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8"/>
    </row>
    <row r="125" spans="1:26" ht="1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8"/>
    </row>
    <row r="126" spans="1:26" ht="1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8"/>
    </row>
    <row r="127" spans="1:26" ht="1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8"/>
    </row>
    <row r="128" spans="1:26" ht="1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8"/>
    </row>
    <row r="129" spans="1:26" ht="1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8"/>
    </row>
    <row r="130" spans="1:26" ht="1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8"/>
    </row>
    <row r="131" spans="1:26" ht="1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8"/>
    </row>
    <row r="132" spans="1:26" ht="1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8"/>
    </row>
    <row r="133" spans="1:26" ht="1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8"/>
    </row>
    <row r="134" spans="1:26" ht="1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8"/>
    </row>
    <row r="135" spans="1:26" ht="1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8"/>
    </row>
    <row r="136" spans="1:26" ht="1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8"/>
    </row>
    <row r="137" spans="1:26" ht="1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8"/>
    </row>
    <row r="138" spans="1:26" ht="1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8"/>
    </row>
    <row r="139" spans="1:26" ht="1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8"/>
    </row>
    <row r="140" spans="1:26" ht="1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8"/>
    </row>
    <row r="141" spans="1:26" ht="1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8"/>
    </row>
    <row r="142" spans="1:26" ht="1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8"/>
    </row>
    <row r="143" spans="1:26" ht="1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8"/>
    </row>
    <row r="144" spans="1:26" ht="1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8"/>
    </row>
    <row r="145" spans="1:26" ht="1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8"/>
    </row>
    <row r="146" spans="1:26" ht="1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8"/>
    </row>
    <row r="147" spans="1:26" ht="1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8"/>
    </row>
    <row r="148" spans="1:26" ht="1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8"/>
    </row>
    <row r="149" spans="1:26" ht="1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8"/>
    </row>
    <row r="150" spans="1:26" ht="1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8"/>
    </row>
    <row r="151" spans="1:26" ht="1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8"/>
    </row>
    <row r="152" spans="1:26" ht="1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8"/>
    </row>
    <row r="153" spans="1:26" ht="1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8"/>
    </row>
    <row r="154" spans="1:26" ht="1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8"/>
    </row>
    <row r="155" spans="1:26" ht="1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8"/>
    </row>
    <row r="156" spans="1:26" ht="1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8"/>
    </row>
    <row r="157" spans="1:26" ht="1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8"/>
    </row>
    <row r="158" spans="1:26" ht="1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8"/>
    </row>
    <row r="159" spans="1:26" ht="1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8"/>
    </row>
    <row r="160" spans="1:26" ht="1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8"/>
    </row>
    <row r="161" spans="1:26" ht="1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8"/>
    </row>
    <row r="162" spans="1:26" ht="1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8"/>
    </row>
    <row r="163" spans="1:26" ht="1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8"/>
    </row>
    <row r="164" spans="1:26" ht="1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8"/>
    </row>
    <row r="165" spans="1:26" ht="1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8"/>
    </row>
    <row r="166" spans="1:26" ht="1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8"/>
    </row>
    <row r="167" spans="1:26" ht="1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8"/>
    </row>
    <row r="168" spans="1:26" ht="1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8"/>
    </row>
    <row r="169" spans="1:26" ht="1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8"/>
    </row>
    <row r="170" spans="1:26" ht="1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8"/>
    </row>
    <row r="171" spans="1:26" ht="1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8"/>
    </row>
    <row r="172" spans="1:26" ht="1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8"/>
    </row>
    <row r="173" spans="1:26" ht="1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8"/>
    </row>
    <row r="174" spans="1:26" ht="1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8"/>
    </row>
    <row r="175" spans="1:26" ht="1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8"/>
    </row>
    <row r="176" spans="1:26" ht="1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8"/>
    </row>
    <row r="177" spans="1:26" ht="1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8"/>
    </row>
    <row r="178" spans="1:26" ht="1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8"/>
    </row>
    <row r="179" spans="1:26" ht="1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8"/>
    </row>
    <row r="180" spans="1:26" ht="1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8"/>
    </row>
    <row r="181" spans="1:26" ht="1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8"/>
    </row>
    <row r="182" spans="1:26" ht="1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8"/>
    </row>
    <row r="183" spans="1:26" ht="1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8"/>
    </row>
    <row r="184" spans="1:26" ht="1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8"/>
    </row>
    <row r="185" spans="1:26" ht="1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8"/>
    </row>
    <row r="186" spans="1:26" ht="1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8"/>
    </row>
    <row r="187" spans="1:26" ht="1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8"/>
    </row>
    <row r="188" spans="1:26" ht="1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8"/>
    </row>
    <row r="189" spans="1:26" ht="1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8"/>
    </row>
    <row r="190" spans="1:26" ht="1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8"/>
    </row>
    <row r="191" spans="1:26" ht="1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8"/>
    </row>
    <row r="192" spans="1:26" ht="1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8"/>
    </row>
    <row r="193" spans="1:26" ht="1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8"/>
    </row>
    <row r="194" spans="1:26" ht="1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8"/>
    </row>
    <row r="195" spans="1:26" ht="1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8"/>
    </row>
    <row r="196" spans="1:26" ht="1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8"/>
    </row>
    <row r="197" spans="1:26" ht="1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8"/>
    </row>
    <row r="198" spans="1:26" ht="1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8"/>
    </row>
    <row r="199" spans="1:26" ht="1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8"/>
    </row>
    <row r="200" spans="1:26" ht="1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8"/>
    </row>
    <row r="201" spans="1:26" ht="1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8"/>
    </row>
    <row r="202" spans="1:26" ht="1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8"/>
    </row>
    <row r="203" spans="1:26" ht="1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8"/>
    </row>
    <row r="204" spans="1:26" ht="1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8"/>
    </row>
    <row r="205" spans="1:26" ht="1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8"/>
    </row>
    <row r="206" spans="1:26" ht="1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8"/>
    </row>
    <row r="207" spans="1:26" ht="1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8"/>
    </row>
    <row r="208" spans="1:26" ht="1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8"/>
    </row>
    <row r="209" spans="1:26" ht="1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8"/>
    </row>
    <row r="210" spans="1:26" ht="15" customHeight="1" x14ac:dyDescent="0.3">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5" customHeight="1" x14ac:dyDescent="0.3">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5" customHeight="1" x14ac:dyDescent="0.3">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 customHeight="1" x14ac:dyDescent="0.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5" customHeight="1" x14ac:dyDescent="0.3">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5" customHeight="1" x14ac:dyDescent="0.3">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 customHeight="1" x14ac:dyDescent="0.3">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5" customHeight="1" x14ac:dyDescent="0.3">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5" customHeight="1" x14ac:dyDescent="0.3">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5" customHeight="1" x14ac:dyDescent="0.3">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5" customHeight="1" x14ac:dyDescent="0.3">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 customHeight="1" x14ac:dyDescent="0.3">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5" customHeight="1" x14ac:dyDescent="0.3">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5" customHeight="1" x14ac:dyDescent="0.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5" customHeight="1" x14ac:dyDescent="0.3">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5" customHeight="1" x14ac:dyDescent="0.3">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5" customHeight="1" x14ac:dyDescent="0.3">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5" customHeight="1" x14ac:dyDescent="0.3">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5" customHeight="1" x14ac:dyDescent="0.3">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5" customHeight="1" x14ac:dyDescent="0.3">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5" customHeight="1" x14ac:dyDescent="0.3">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5" customHeight="1" x14ac:dyDescent="0.3">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5" customHeight="1" x14ac:dyDescent="0.3">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5" customHeight="1" x14ac:dyDescent="0.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5" customHeight="1" x14ac:dyDescent="0.3">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5" customHeight="1" x14ac:dyDescent="0.3">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5" customHeight="1" x14ac:dyDescent="0.3">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5" customHeight="1" x14ac:dyDescent="0.3">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5" customHeight="1" x14ac:dyDescent="0.3">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5" customHeight="1" x14ac:dyDescent="0.3">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5" customHeight="1" x14ac:dyDescent="0.3">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5" customHeight="1" x14ac:dyDescent="0.3">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5" customHeight="1" x14ac:dyDescent="0.3">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 customHeight="1" x14ac:dyDescent="0.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5" customHeight="1" x14ac:dyDescent="0.3">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5" customHeight="1" x14ac:dyDescent="0.3">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5" customHeight="1" x14ac:dyDescent="0.3">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5" customHeight="1" x14ac:dyDescent="0.3">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5" customHeight="1" x14ac:dyDescent="0.3">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5" customHeight="1" x14ac:dyDescent="0.3">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5" customHeight="1" x14ac:dyDescent="0.3">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5" customHeight="1" x14ac:dyDescent="0.3">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5" customHeight="1" x14ac:dyDescent="0.3">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5" customHeight="1" x14ac:dyDescent="0.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5" customHeight="1" x14ac:dyDescent="0.3">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5" customHeight="1" x14ac:dyDescent="0.3">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5" customHeight="1" x14ac:dyDescent="0.3">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5" customHeight="1" x14ac:dyDescent="0.3">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5" customHeight="1" x14ac:dyDescent="0.3">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5" customHeight="1" x14ac:dyDescent="0.3">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5" customHeight="1" x14ac:dyDescent="0.3">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5" customHeight="1" x14ac:dyDescent="0.3">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5" customHeight="1" x14ac:dyDescent="0.3">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5" customHeight="1" x14ac:dyDescent="0.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5" customHeight="1" x14ac:dyDescent="0.3">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5" customHeight="1" x14ac:dyDescent="0.3">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5" customHeight="1" x14ac:dyDescent="0.3">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5" customHeight="1" x14ac:dyDescent="0.3">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5" customHeight="1" x14ac:dyDescent="0.3">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5" customHeight="1" x14ac:dyDescent="0.3">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5" customHeight="1" x14ac:dyDescent="0.3">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5" customHeight="1" x14ac:dyDescent="0.3">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5" customHeight="1" x14ac:dyDescent="0.3">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5" customHeight="1" x14ac:dyDescent="0.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5" customHeight="1" x14ac:dyDescent="0.3">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5" customHeight="1" x14ac:dyDescent="0.3">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5" customHeight="1" x14ac:dyDescent="0.3">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5" customHeight="1" x14ac:dyDescent="0.3">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5" customHeight="1" x14ac:dyDescent="0.3">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5" customHeight="1" x14ac:dyDescent="0.3">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5" customHeight="1" x14ac:dyDescent="0.3">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5" customHeight="1" x14ac:dyDescent="0.3">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5" customHeight="1" x14ac:dyDescent="0.3">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5" customHeight="1" x14ac:dyDescent="0.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5" customHeight="1" x14ac:dyDescent="0.3">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5" customHeight="1" x14ac:dyDescent="0.3">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5" customHeight="1" x14ac:dyDescent="0.3">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5" customHeight="1" x14ac:dyDescent="0.3">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5" customHeight="1" x14ac:dyDescent="0.3">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5" customHeight="1" x14ac:dyDescent="0.3">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5" customHeight="1" x14ac:dyDescent="0.3">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5" customHeight="1" x14ac:dyDescent="0.3">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5" customHeight="1" x14ac:dyDescent="0.3">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5" customHeight="1" x14ac:dyDescent="0.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5" customHeight="1" x14ac:dyDescent="0.3">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5" customHeight="1" x14ac:dyDescent="0.3">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5" customHeight="1" x14ac:dyDescent="0.3">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5" customHeight="1" x14ac:dyDescent="0.3">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5" customHeight="1" x14ac:dyDescent="0.3">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5" customHeight="1" x14ac:dyDescent="0.3">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5" customHeight="1" x14ac:dyDescent="0.3">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5" customHeight="1" x14ac:dyDescent="0.3">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5" customHeight="1" x14ac:dyDescent="0.3">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5" customHeight="1" x14ac:dyDescent="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5" customHeight="1" x14ac:dyDescent="0.3">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5" customHeight="1" x14ac:dyDescent="0.3">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5" customHeight="1" x14ac:dyDescent="0.3">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5" customHeight="1" x14ac:dyDescent="0.3">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5" customHeight="1" x14ac:dyDescent="0.3">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5" customHeight="1" x14ac:dyDescent="0.3">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5" customHeight="1" x14ac:dyDescent="0.3">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5" customHeight="1" x14ac:dyDescent="0.3">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5" customHeight="1" x14ac:dyDescent="0.3">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5" customHeight="1" x14ac:dyDescent="0.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5" customHeight="1" x14ac:dyDescent="0.3">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5" customHeight="1" x14ac:dyDescent="0.3">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5" customHeight="1" x14ac:dyDescent="0.3">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5" customHeight="1" x14ac:dyDescent="0.3">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5" customHeight="1" x14ac:dyDescent="0.3">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5" customHeight="1" x14ac:dyDescent="0.3">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5" customHeight="1" x14ac:dyDescent="0.3">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5" customHeight="1" x14ac:dyDescent="0.3">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5" customHeight="1" x14ac:dyDescent="0.3">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5" customHeight="1" x14ac:dyDescent="0.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5" customHeight="1" x14ac:dyDescent="0.3">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5" customHeight="1" x14ac:dyDescent="0.3">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5" customHeight="1" x14ac:dyDescent="0.3">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5" customHeight="1" x14ac:dyDescent="0.3">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5" customHeight="1" x14ac:dyDescent="0.3">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5" customHeight="1" x14ac:dyDescent="0.3">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5" customHeight="1" x14ac:dyDescent="0.3">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5" customHeight="1" x14ac:dyDescent="0.3">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5" customHeight="1" x14ac:dyDescent="0.3">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5" customHeight="1" x14ac:dyDescent="0.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5" customHeight="1" x14ac:dyDescent="0.3">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5" customHeight="1" x14ac:dyDescent="0.3">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5" customHeight="1" x14ac:dyDescent="0.3">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5" customHeight="1" x14ac:dyDescent="0.3">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5" customHeight="1" x14ac:dyDescent="0.3">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5" customHeight="1" x14ac:dyDescent="0.3">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5" customHeight="1" x14ac:dyDescent="0.3">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5" customHeight="1" x14ac:dyDescent="0.3">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5" customHeight="1" x14ac:dyDescent="0.3">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5" customHeight="1" x14ac:dyDescent="0.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5" customHeight="1" x14ac:dyDescent="0.3">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5" customHeight="1" x14ac:dyDescent="0.3">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5" customHeight="1" x14ac:dyDescent="0.3">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5" customHeight="1" x14ac:dyDescent="0.3">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5" customHeight="1" x14ac:dyDescent="0.3">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5" customHeight="1" x14ac:dyDescent="0.3">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5" customHeight="1" x14ac:dyDescent="0.3">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5" customHeight="1" x14ac:dyDescent="0.3">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5" customHeight="1" x14ac:dyDescent="0.3">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5" customHeight="1" x14ac:dyDescent="0.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5" customHeight="1" x14ac:dyDescent="0.3">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5" customHeight="1" x14ac:dyDescent="0.3">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5" customHeight="1" x14ac:dyDescent="0.3">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5" customHeight="1" x14ac:dyDescent="0.3">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5" customHeight="1" x14ac:dyDescent="0.3">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5" customHeight="1" x14ac:dyDescent="0.3">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5" customHeight="1" x14ac:dyDescent="0.3">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5" customHeight="1" x14ac:dyDescent="0.3">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5" customHeight="1" x14ac:dyDescent="0.3">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5" customHeight="1" x14ac:dyDescent="0.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5" customHeight="1" x14ac:dyDescent="0.3">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5" customHeight="1" x14ac:dyDescent="0.3">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5" customHeight="1" x14ac:dyDescent="0.3">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5" customHeight="1" x14ac:dyDescent="0.3">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5" customHeight="1" x14ac:dyDescent="0.3">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5" customHeight="1" x14ac:dyDescent="0.3">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5" customHeight="1" x14ac:dyDescent="0.3">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5" customHeight="1" x14ac:dyDescent="0.3">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5" customHeight="1" x14ac:dyDescent="0.3">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5" customHeight="1" x14ac:dyDescent="0.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5" customHeight="1" x14ac:dyDescent="0.3">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5" customHeight="1" x14ac:dyDescent="0.3">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5" customHeight="1" x14ac:dyDescent="0.3">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5" customHeight="1" x14ac:dyDescent="0.3">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5" customHeight="1" x14ac:dyDescent="0.3">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5" customHeight="1" x14ac:dyDescent="0.3">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5" customHeight="1" x14ac:dyDescent="0.3">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5" customHeight="1" x14ac:dyDescent="0.3">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5" customHeight="1" x14ac:dyDescent="0.3">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5" customHeight="1" x14ac:dyDescent="0.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5" customHeight="1" x14ac:dyDescent="0.3">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5" customHeight="1" x14ac:dyDescent="0.3">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5" customHeight="1" x14ac:dyDescent="0.3">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5" customHeight="1" x14ac:dyDescent="0.3">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5" customHeight="1" x14ac:dyDescent="0.3">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5" customHeight="1" x14ac:dyDescent="0.3">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5" customHeight="1" x14ac:dyDescent="0.3">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5" customHeight="1" x14ac:dyDescent="0.3">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5" customHeight="1" x14ac:dyDescent="0.3">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5" customHeight="1" x14ac:dyDescent="0.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5" customHeight="1" x14ac:dyDescent="0.3">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5" customHeight="1" x14ac:dyDescent="0.3">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5" customHeight="1" x14ac:dyDescent="0.3">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5" customHeight="1" x14ac:dyDescent="0.3">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5" customHeight="1" x14ac:dyDescent="0.3">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5" customHeight="1" x14ac:dyDescent="0.3">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5" customHeight="1" x14ac:dyDescent="0.3">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5" customHeight="1" x14ac:dyDescent="0.3">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5" customHeight="1" x14ac:dyDescent="0.3">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5" customHeight="1" x14ac:dyDescent="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5" customHeight="1" x14ac:dyDescent="0.3">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5" customHeight="1" x14ac:dyDescent="0.3">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5" customHeight="1" x14ac:dyDescent="0.3">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5" customHeight="1" x14ac:dyDescent="0.3">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5" customHeight="1" x14ac:dyDescent="0.3">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5" customHeight="1" x14ac:dyDescent="0.3">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5" customHeight="1" x14ac:dyDescent="0.3">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5" customHeight="1" x14ac:dyDescent="0.3">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5" customHeight="1" x14ac:dyDescent="0.3">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5" customHeight="1" x14ac:dyDescent="0.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5" customHeight="1" x14ac:dyDescent="0.3">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5" customHeight="1" x14ac:dyDescent="0.3">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5" customHeight="1" x14ac:dyDescent="0.3">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5" customHeight="1" x14ac:dyDescent="0.3">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5" customHeight="1" x14ac:dyDescent="0.3">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5" customHeight="1" x14ac:dyDescent="0.3">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5" customHeight="1" x14ac:dyDescent="0.3">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5" customHeight="1" x14ac:dyDescent="0.3">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5" customHeight="1" x14ac:dyDescent="0.3">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5" customHeight="1" x14ac:dyDescent="0.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5" customHeight="1" x14ac:dyDescent="0.3">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5" customHeight="1" x14ac:dyDescent="0.3">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5" customHeight="1" x14ac:dyDescent="0.3">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5" customHeight="1" x14ac:dyDescent="0.3">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5" customHeight="1" x14ac:dyDescent="0.3">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5" customHeight="1" x14ac:dyDescent="0.3">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5" customHeight="1" x14ac:dyDescent="0.3">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5" customHeight="1" x14ac:dyDescent="0.3">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5" customHeight="1" x14ac:dyDescent="0.3">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5" customHeight="1" x14ac:dyDescent="0.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5" customHeight="1" x14ac:dyDescent="0.3">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5" customHeight="1" x14ac:dyDescent="0.3">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5" customHeight="1" x14ac:dyDescent="0.3">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5" customHeight="1" x14ac:dyDescent="0.3">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5" customHeight="1" x14ac:dyDescent="0.3">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5" customHeight="1" x14ac:dyDescent="0.3">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5" customHeight="1" x14ac:dyDescent="0.3">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5" customHeight="1" x14ac:dyDescent="0.3">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5" customHeight="1" x14ac:dyDescent="0.3">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5" customHeight="1" x14ac:dyDescent="0.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5" customHeight="1" x14ac:dyDescent="0.3">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5" customHeight="1" x14ac:dyDescent="0.3">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5" customHeight="1" x14ac:dyDescent="0.3">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5" customHeight="1" x14ac:dyDescent="0.3">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5" customHeight="1" x14ac:dyDescent="0.3">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5" customHeight="1" x14ac:dyDescent="0.3">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5" customHeight="1" x14ac:dyDescent="0.3">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5" customHeight="1" x14ac:dyDescent="0.3">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5" customHeight="1" x14ac:dyDescent="0.3">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5" customHeight="1" x14ac:dyDescent="0.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5" customHeight="1" x14ac:dyDescent="0.3">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5" customHeight="1" x14ac:dyDescent="0.3">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5" customHeight="1" x14ac:dyDescent="0.3">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5" customHeight="1" x14ac:dyDescent="0.3">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5" customHeight="1" x14ac:dyDescent="0.3">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5" customHeight="1" x14ac:dyDescent="0.3">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5" customHeight="1" x14ac:dyDescent="0.3">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5" customHeight="1" x14ac:dyDescent="0.3">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5" customHeight="1" x14ac:dyDescent="0.3">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5" customHeight="1" x14ac:dyDescent="0.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5" customHeight="1" x14ac:dyDescent="0.3">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5" customHeight="1" x14ac:dyDescent="0.3">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5" customHeight="1" x14ac:dyDescent="0.3">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5" customHeight="1" x14ac:dyDescent="0.3">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5" customHeight="1" x14ac:dyDescent="0.3">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5" customHeight="1" x14ac:dyDescent="0.3">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5" customHeight="1" x14ac:dyDescent="0.3">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5" customHeight="1" x14ac:dyDescent="0.3">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5" customHeight="1" x14ac:dyDescent="0.3">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5" customHeight="1" x14ac:dyDescent="0.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5" customHeight="1" x14ac:dyDescent="0.3">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5" customHeight="1" x14ac:dyDescent="0.3">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5" customHeight="1" x14ac:dyDescent="0.3">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5" customHeight="1" x14ac:dyDescent="0.3">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5" customHeight="1" x14ac:dyDescent="0.3">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5" customHeight="1" x14ac:dyDescent="0.3">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5" customHeight="1" x14ac:dyDescent="0.3">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5" customHeight="1" x14ac:dyDescent="0.3">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5" customHeight="1" x14ac:dyDescent="0.3">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5" customHeight="1" x14ac:dyDescent="0.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5" customHeight="1" x14ac:dyDescent="0.3">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5" customHeight="1" x14ac:dyDescent="0.3">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5" customHeight="1" x14ac:dyDescent="0.3">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5" customHeight="1" x14ac:dyDescent="0.3">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5" customHeight="1" x14ac:dyDescent="0.3">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5" customHeight="1" x14ac:dyDescent="0.3">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5" customHeight="1" x14ac:dyDescent="0.3">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5" customHeight="1" x14ac:dyDescent="0.3">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5" customHeight="1" x14ac:dyDescent="0.3">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5" customHeight="1" x14ac:dyDescent="0.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5" customHeight="1" x14ac:dyDescent="0.3">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5" customHeight="1" x14ac:dyDescent="0.3">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5" customHeight="1" x14ac:dyDescent="0.3">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5" customHeight="1" x14ac:dyDescent="0.3">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5" customHeight="1" x14ac:dyDescent="0.3">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5" customHeight="1" x14ac:dyDescent="0.3">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5" customHeight="1" x14ac:dyDescent="0.3">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5" customHeight="1" x14ac:dyDescent="0.3">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5" customHeight="1" x14ac:dyDescent="0.3">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5" customHeight="1" x14ac:dyDescent="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5" customHeight="1" x14ac:dyDescent="0.3">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5" customHeight="1" x14ac:dyDescent="0.3">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5" customHeight="1" x14ac:dyDescent="0.3">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5" customHeight="1" x14ac:dyDescent="0.3">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5" customHeight="1" x14ac:dyDescent="0.3">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5" customHeight="1" x14ac:dyDescent="0.3">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5" customHeight="1" x14ac:dyDescent="0.3">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5" customHeight="1" x14ac:dyDescent="0.3">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5" customHeight="1" x14ac:dyDescent="0.3">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5" customHeight="1" x14ac:dyDescent="0.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5" customHeight="1" x14ac:dyDescent="0.3">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5" customHeight="1" x14ac:dyDescent="0.3">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5" customHeight="1" x14ac:dyDescent="0.3">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5" customHeight="1" x14ac:dyDescent="0.3">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5" customHeight="1" x14ac:dyDescent="0.3">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5" customHeight="1" x14ac:dyDescent="0.3">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5" customHeight="1" x14ac:dyDescent="0.3">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5" customHeight="1" x14ac:dyDescent="0.3">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5" customHeight="1" x14ac:dyDescent="0.3">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5" customHeight="1" x14ac:dyDescent="0.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5" customHeight="1" x14ac:dyDescent="0.3">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5" customHeight="1" x14ac:dyDescent="0.3">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5" customHeight="1" x14ac:dyDescent="0.3">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5" customHeight="1" x14ac:dyDescent="0.3">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5" customHeight="1" x14ac:dyDescent="0.3">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5" customHeight="1" x14ac:dyDescent="0.3">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5" customHeight="1" x14ac:dyDescent="0.3">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5" customHeight="1" x14ac:dyDescent="0.3">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5" customHeight="1" x14ac:dyDescent="0.3">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5" customHeight="1" x14ac:dyDescent="0.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5" customHeight="1" x14ac:dyDescent="0.3">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5" customHeight="1" x14ac:dyDescent="0.3">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5" customHeight="1" x14ac:dyDescent="0.3">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5" customHeight="1" x14ac:dyDescent="0.3">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5" customHeight="1" x14ac:dyDescent="0.3">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5" customHeight="1" x14ac:dyDescent="0.3">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5" customHeight="1" x14ac:dyDescent="0.3">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5" customHeight="1" x14ac:dyDescent="0.3">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5" customHeight="1" x14ac:dyDescent="0.3">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5" customHeight="1" x14ac:dyDescent="0.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5" customHeight="1" x14ac:dyDescent="0.3">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5" customHeight="1" x14ac:dyDescent="0.3">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5" customHeight="1" x14ac:dyDescent="0.3">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5" customHeight="1" x14ac:dyDescent="0.3">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5" customHeight="1" x14ac:dyDescent="0.3">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5" customHeight="1" x14ac:dyDescent="0.3">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5" customHeight="1" x14ac:dyDescent="0.3">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5" customHeight="1" x14ac:dyDescent="0.3">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5" customHeight="1" x14ac:dyDescent="0.3">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5" customHeight="1" x14ac:dyDescent="0.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5" customHeight="1" x14ac:dyDescent="0.3">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5" customHeight="1" x14ac:dyDescent="0.3">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5" customHeight="1" x14ac:dyDescent="0.3">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5" customHeight="1" x14ac:dyDescent="0.3">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5" customHeight="1" x14ac:dyDescent="0.3">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5" customHeight="1" x14ac:dyDescent="0.3">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5" customHeight="1" x14ac:dyDescent="0.3">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5" customHeight="1" x14ac:dyDescent="0.3">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5" customHeight="1" x14ac:dyDescent="0.3">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5" customHeight="1" x14ac:dyDescent="0.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5" customHeight="1" x14ac:dyDescent="0.3">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5" customHeight="1" x14ac:dyDescent="0.3">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5" customHeight="1" x14ac:dyDescent="0.3">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5" customHeight="1" x14ac:dyDescent="0.3">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5" customHeight="1" x14ac:dyDescent="0.3">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5" customHeight="1" x14ac:dyDescent="0.3">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5" customHeight="1" x14ac:dyDescent="0.3">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5" customHeight="1" x14ac:dyDescent="0.3">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5" customHeight="1" x14ac:dyDescent="0.3">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5" customHeight="1" x14ac:dyDescent="0.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5" customHeight="1" x14ac:dyDescent="0.3">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5" customHeight="1" x14ac:dyDescent="0.3">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5" customHeight="1" x14ac:dyDescent="0.3">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5" customHeight="1" x14ac:dyDescent="0.3">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5" customHeight="1" x14ac:dyDescent="0.3">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5" customHeight="1" x14ac:dyDescent="0.3">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5" customHeight="1" x14ac:dyDescent="0.3">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5" customHeight="1" x14ac:dyDescent="0.3">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5" customHeight="1" x14ac:dyDescent="0.3">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5" customHeight="1" x14ac:dyDescent="0.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5" customHeight="1" x14ac:dyDescent="0.3">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5" customHeight="1" x14ac:dyDescent="0.3">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5" customHeight="1" x14ac:dyDescent="0.3">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5" customHeight="1" x14ac:dyDescent="0.3">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5" customHeight="1" x14ac:dyDescent="0.3">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5" customHeight="1" x14ac:dyDescent="0.3">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5" customHeight="1" x14ac:dyDescent="0.3">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5" customHeight="1" x14ac:dyDescent="0.3">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5" customHeight="1" x14ac:dyDescent="0.3">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5" customHeight="1" x14ac:dyDescent="0.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5" customHeight="1" x14ac:dyDescent="0.3">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5" customHeight="1" x14ac:dyDescent="0.3">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5" customHeight="1" x14ac:dyDescent="0.3">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5" customHeight="1" x14ac:dyDescent="0.3">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5" customHeight="1" x14ac:dyDescent="0.3">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5" customHeight="1" x14ac:dyDescent="0.3">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5" customHeight="1" x14ac:dyDescent="0.3">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5" customHeight="1" x14ac:dyDescent="0.3">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5" customHeight="1" x14ac:dyDescent="0.3">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5" customHeight="1" x14ac:dyDescent="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5" customHeight="1" x14ac:dyDescent="0.3">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5" customHeight="1" x14ac:dyDescent="0.3">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5" customHeight="1" x14ac:dyDescent="0.3">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5" customHeight="1" x14ac:dyDescent="0.3">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5" customHeight="1" x14ac:dyDescent="0.3">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5" customHeight="1" x14ac:dyDescent="0.3">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5" customHeight="1" x14ac:dyDescent="0.3">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5" customHeight="1" x14ac:dyDescent="0.3">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5" customHeight="1" x14ac:dyDescent="0.3">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5" customHeight="1" x14ac:dyDescent="0.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5" customHeight="1" x14ac:dyDescent="0.3">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5" customHeight="1" x14ac:dyDescent="0.3">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5" customHeight="1" x14ac:dyDescent="0.3">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5" customHeight="1" x14ac:dyDescent="0.3">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5" customHeight="1" x14ac:dyDescent="0.3">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5" customHeight="1" x14ac:dyDescent="0.3">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5" customHeight="1" x14ac:dyDescent="0.3">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5" customHeight="1" x14ac:dyDescent="0.3">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5" customHeight="1" x14ac:dyDescent="0.3">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5" customHeight="1" x14ac:dyDescent="0.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5" customHeight="1" x14ac:dyDescent="0.3">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5" customHeight="1" x14ac:dyDescent="0.3">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5" customHeight="1" x14ac:dyDescent="0.3">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5" customHeight="1" x14ac:dyDescent="0.3">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5" customHeight="1" x14ac:dyDescent="0.3">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5" customHeight="1" x14ac:dyDescent="0.3">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5" customHeight="1" x14ac:dyDescent="0.3">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5" customHeight="1" x14ac:dyDescent="0.3">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5" customHeight="1" x14ac:dyDescent="0.3">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5" customHeight="1" x14ac:dyDescent="0.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5" customHeight="1" x14ac:dyDescent="0.3">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5" customHeight="1" x14ac:dyDescent="0.3">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5" customHeight="1" x14ac:dyDescent="0.3">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5" customHeight="1" x14ac:dyDescent="0.3">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5" customHeight="1" x14ac:dyDescent="0.3">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5" customHeight="1" x14ac:dyDescent="0.3">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5" customHeight="1" x14ac:dyDescent="0.3">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5" customHeight="1" x14ac:dyDescent="0.3">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5" customHeight="1" x14ac:dyDescent="0.3">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5" customHeight="1" x14ac:dyDescent="0.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5" customHeight="1" x14ac:dyDescent="0.3">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5" customHeight="1" x14ac:dyDescent="0.3">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5" customHeight="1" x14ac:dyDescent="0.3">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5" customHeight="1" x14ac:dyDescent="0.3">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5" customHeight="1" x14ac:dyDescent="0.3">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5" customHeight="1" x14ac:dyDescent="0.3">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5" customHeight="1" x14ac:dyDescent="0.3">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5" customHeight="1" x14ac:dyDescent="0.3">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5" customHeight="1" x14ac:dyDescent="0.3">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5" customHeight="1" x14ac:dyDescent="0.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5" customHeight="1" x14ac:dyDescent="0.3">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5" customHeight="1" x14ac:dyDescent="0.3">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5" customHeight="1" x14ac:dyDescent="0.3">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5" customHeight="1" x14ac:dyDescent="0.3">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5" customHeight="1" x14ac:dyDescent="0.3">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5" customHeight="1" x14ac:dyDescent="0.3">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5" customHeight="1" x14ac:dyDescent="0.3">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5" customHeight="1" x14ac:dyDescent="0.3">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5" customHeight="1" x14ac:dyDescent="0.3">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5" customHeight="1" x14ac:dyDescent="0.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5" customHeight="1" x14ac:dyDescent="0.3">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5" customHeight="1" x14ac:dyDescent="0.3">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5" customHeight="1" x14ac:dyDescent="0.3">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5" customHeight="1" x14ac:dyDescent="0.3">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5" customHeight="1" x14ac:dyDescent="0.3">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5" customHeight="1" x14ac:dyDescent="0.3">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5" customHeight="1" x14ac:dyDescent="0.3">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5" customHeight="1" x14ac:dyDescent="0.3">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5" customHeight="1" x14ac:dyDescent="0.3">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5" customHeight="1" x14ac:dyDescent="0.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5" customHeight="1" x14ac:dyDescent="0.3">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5" customHeight="1" x14ac:dyDescent="0.3">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5" customHeight="1" x14ac:dyDescent="0.3">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5" customHeight="1" x14ac:dyDescent="0.3">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5" customHeight="1" x14ac:dyDescent="0.3">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5" customHeight="1" x14ac:dyDescent="0.3">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5" customHeight="1" x14ac:dyDescent="0.3">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5" customHeight="1" x14ac:dyDescent="0.3">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5" customHeight="1" x14ac:dyDescent="0.3">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5" customHeight="1" x14ac:dyDescent="0.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5" customHeight="1" x14ac:dyDescent="0.3">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5" customHeight="1" x14ac:dyDescent="0.3">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5" customHeight="1" x14ac:dyDescent="0.3">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5" customHeight="1" x14ac:dyDescent="0.3">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5" customHeight="1" x14ac:dyDescent="0.3">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5" customHeight="1" x14ac:dyDescent="0.3">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5" customHeight="1" x14ac:dyDescent="0.3">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5" customHeight="1" x14ac:dyDescent="0.3">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5" customHeight="1" x14ac:dyDescent="0.3">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5" customHeight="1" x14ac:dyDescent="0.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5" customHeight="1" x14ac:dyDescent="0.3">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5" customHeight="1" x14ac:dyDescent="0.3">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5" customHeight="1" x14ac:dyDescent="0.3">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5" customHeight="1" x14ac:dyDescent="0.3">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5" customHeight="1" x14ac:dyDescent="0.3">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5" customHeight="1" x14ac:dyDescent="0.3">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5" customHeight="1" x14ac:dyDescent="0.3">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5" customHeight="1" x14ac:dyDescent="0.3">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5" customHeight="1" x14ac:dyDescent="0.3">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5" customHeight="1" x14ac:dyDescent="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5" customHeight="1" x14ac:dyDescent="0.3">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5" customHeight="1" x14ac:dyDescent="0.3">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5" customHeight="1" x14ac:dyDescent="0.3">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5" customHeight="1" x14ac:dyDescent="0.3">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5" customHeight="1" x14ac:dyDescent="0.3">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5" customHeight="1" x14ac:dyDescent="0.3">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5" customHeight="1" x14ac:dyDescent="0.3">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5" customHeight="1" x14ac:dyDescent="0.3">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5" customHeight="1" x14ac:dyDescent="0.3">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5" customHeight="1" x14ac:dyDescent="0.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5" customHeight="1" x14ac:dyDescent="0.3">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5" customHeight="1" x14ac:dyDescent="0.3">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5" customHeight="1" x14ac:dyDescent="0.3">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5" customHeight="1" x14ac:dyDescent="0.3">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5" customHeight="1" x14ac:dyDescent="0.3">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5" customHeight="1" x14ac:dyDescent="0.3">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5" customHeight="1" x14ac:dyDescent="0.3">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5" customHeight="1" x14ac:dyDescent="0.3">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5" customHeight="1" x14ac:dyDescent="0.3">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5" customHeight="1" x14ac:dyDescent="0.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5" customHeight="1" x14ac:dyDescent="0.3">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5" customHeight="1" x14ac:dyDescent="0.3">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5" customHeight="1" x14ac:dyDescent="0.3">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5" customHeight="1" x14ac:dyDescent="0.3">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5" customHeight="1" x14ac:dyDescent="0.3">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5" customHeight="1" x14ac:dyDescent="0.3">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5" customHeight="1" x14ac:dyDescent="0.3">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5" customHeight="1" x14ac:dyDescent="0.3">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5" customHeight="1" x14ac:dyDescent="0.3">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5" customHeight="1" x14ac:dyDescent="0.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5" customHeight="1" x14ac:dyDescent="0.3">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5" customHeight="1" x14ac:dyDescent="0.3">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5" customHeight="1" x14ac:dyDescent="0.3">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5" customHeight="1" x14ac:dyDescent="0.3">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5" customHeight="1" x14ac:dyDescent="0.3">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5" customHeight="1" x14ac:dyDescent="0.3">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5" customHeight="1" x14ac:dyDescent="0.3">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5" customHeight="1" x14ac:dyDescent="0.3">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5" customHeight="1" x14ac:dyDescent="0.3">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5" customHeight="1" x14ac:dyDescent="0.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5" customHeight="1" x14ac:dyDescent="0.3">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5" customHeight="1" x14ac:dyDescent="0.3">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5" customHeight="1" x14ac:dyDescent="0.3">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5" customHeight="1" x14ac:dyDescent="0.3">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5" customHeight="1" x14ac:dyDescent="0.3">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5" customHeight="1" x14ac:dyDescent="0.3">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5" customHeight="1" x14ac:dyDescent="0.3">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5" customHeight="1" x14ac:dyDescent="0.3">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5" customHeight="1" x14ac:dyDescent="0.3">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5" customHeight="1" x14ac:dyDescent="0.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5" customHeight="1" x14ac:dyDescent="0.3">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5" customHeight="1" x14ac:dyDescent="0.3">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5" customHeight="1" x14ac:dyDescent="0.3">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5" customHeight="1" x14ac:dyDescent="0.3">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5" customHeight="1" x14ac:dyDescent="0.3">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5" customHeight="1" x14ac:dyDescent="0.3">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5" customHeight="1" x14ac:dyDescent="0.3">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5" customHeight="1" x14ac:dyDescent="0.3">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5" customHeight="1" x14ac:dyDescent="0.3">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5" customHeight="1" x14ac:dyDescent="0.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5" customHeight="1" x14ac:dyDescent="0.3">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5" customHeight="1" x14ac:dyDescent="0.3">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5" customHeight="1" x14ac:dyDescent="0.3">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5" customHeight="1" x14ac:dyDescent="0.3">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5" customHeight="1" x14ac:dyDescent="0.3">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5" customHeight="1" x14ac:dyDescent="0.3">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5" customHeight="1" x14ac:dyDescent="0.3">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5" customHeight="1" x14ac:dyDescent="0.3">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5" customHeight="1" x14ac:dyDescent="0.3">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5" customHeight="1" x14ac:dyDescent="0.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5" customHeight="1" x14ac:dyDescent="0.3">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5" customHeight="1" x14ac:dyDescent="0.3">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5" customHeight="1" x14ac:dyDescent="0.3">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5" customHeight="1" x14ac:dyDescent="0.3">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5" customHeight="1" x14ac:dyDescent="0.3">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5" customHeight="1" x14ac:dyDescent="0.3">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5" customHeight="1" x14ac:dyDescent="0.3">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5" customHeight="1" x14ac:dyDescent="0.3">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5" customHeight="1" x14ac:dyDescent="0.3">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5" customHeight="1" x14ac:dyDescent="0.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5" customHeight="1" x14ac:dyDescent="0.3">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5" customHeight="1" x14ac:dyDescent="0.3">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5" customHeight="1" x14ac:dyDescent="0.3">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5" customHeight="1" x14ac:dyDescent="0.3">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5" customHeight="1" x14ac:dyDescent="0.3">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5" customHeight="1" x14ac:dyDescent="0.3">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5" customHeight="1" x14ac:dyDescent="0.3">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5" customHeight="1" x14ac:dyDescent="0.3">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5" customHeight="1" x14ac:dyDescent="0.3">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5" customHeight="1" x14ac:dyDescent="0.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5" customHeight="1" x14ac:dyDescent="0.3">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5" customHeight="1" x14ac:dyDescent="0.3">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5" customHeight="1" x14ac:dyDescent="0.3">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5" customHeight="1" x14ac:dyDescent="0.3">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5" customHeight="1" x14ac:dyDescent="0.3">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5" customHeight="1" x14ac:dyDescent="0.3">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5" customHeight="1" x14ac:dyDescent="0.3">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5" customHeight="1" x14ac:dyDescent="0.3">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5" customHeight="1" x14ac:dyDescent="0.3">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5" customHeight="1" x14ac:dyDescent="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5" customHeight="1" x14ac:dyDescent="0.3">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5" customHeight="1" x14ac:dyDescent="0.3">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5" customHeight="1" x14ac:dyDescent="0.3">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5" customHeight="1" x14ac:dyDescent="0.3">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5" customHeight="1" x14ac:dyDescent="0.3">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5" customHeight="1" x14ac:dyDescent="0.3">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5" customHeight="1" x14ac:dyDescent="0.3">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5" customHeight="1" x14ac:dyDescent="0.3">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5" customHeight="1" x14ac:dyDescent="0.3">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5" customHeight="1" x14ac:dyDescent="0.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5" customHeight="1" x14ac:dyDescent="0.3">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5" customHeight="1" x14ac:dyDescent="0.3">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5" customHeight="1" x14ac:dyDescent="0.3">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5" customHeight="1" x14ac:dyDescent="0.3">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5" customHeight="1" x14ac:dyDescent="0.3">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5" customHeight="1" x14ac:dyDescent="0.3">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5" customHeight="1" x14ac:dyDescent="0.3">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5" customHeight="1" x14ac:dyDescent="0.3">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5" customHeight="1" x14ac:dyDescent="0.3">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5" customHeight="1" x14ac:dyDescent="0.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5" customHeight="1" x14ac:dyDescent="0.3">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5" customHeight="1" x14ac:dyDescent="0.3">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5" customHeight="1" x14ac:dyDescent="0.3">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5" customHeight="1" x14ac:dyDescent="0.3">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5" customHeight="1" x14ac:dyDescent="0.3">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5" customHeight="1" x14ac:dyDescent="0.3">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5" customHeight="1" x14ac:dyDescent="0.3">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5" customHeight="1" x14ac:dyDescent="0.3">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5" customHeight="1" x14ac:dyDescent="0.3">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5" customHeight="1" x14ac:dyDescent="0.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5" customHeight="1" x14ac:dyDescent="0.3">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5" customHeight="1" x14ac:dyDescent="0.3">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5" customHeight="1" x14ac:dyDescent="0.3">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5" customHeight="1" x14ac:dyDescent="0.3">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5" customHeight="1" x14ac:dyDescent="0.3">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5" customHeight="1" x14ac:dyDescent="0.3">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5" customHeight="1" x14ac:dyDescent="0.3">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5" customHeight="1" x14ac:dyDescent="0.3">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5" customHeight="1" x14ac:dyDescent="0.3">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5" customHeight="1" x14ac:dyDescent="0.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5" customHeight="1" x14ac:dyDescent="0.3">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5" customHeight="1" x14ac:dyDescent="0.3">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5" customHeight="1" x14ac:dyDescent="0.3">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5" customHeight="1" x14ac:dyDescent="0.3">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5" customHeight="1" x14ac:dyDescent="0.3">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5" customHeight="1" x14ac:dyDescent="0.3">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5" customHeight="1" x14ac:dyDescent="0.3">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5" customHeight="1" x14ac:dyDescent="0.3">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5" customHeight="1" x14ac:dyDescent="0.3">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5" customHeight="1" x14ac:dyDescent="0.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5" customHeight="1" x14ac:dyDescent="0.3">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5" customHeight="1" x14ac:dyDescent="0.3">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5" customHeight="1" x14ac:dyDescent="0.3">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5" customHeight="1" x14ac:dyDescent="0.3">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5" customHeight="1" x14ac:dyDescent="0.3">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5" customHeight="1" x14ac:dyDescent="0.3">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5" customHeight="1" x14ac:dyDescent="0.3">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5" customHeight="1" x14ac:dyDescent="0.3">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5" customHeight="1" x14ac:dyDescent="0.3">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5" customHeight="1" x14ac:dyDescent="0.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5" customHeight="1" x14ac:dyDescent="0.3">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5" customHeight="1" x14ac:dyDescent="0.3">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5" customHeight="1" x14ac:dyDescent="0.3">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5" customHeight="1" x14ac:dyDescent="0.3">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5" customHeight="1" x14ac:dyDescent="0.3">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5" customHeight="1" x14ac:dyDescent="0.3">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5" customHeight="1" x14ac:dyDescent="0.3">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5" customHeight="1" x14ac:dyDescent="0.3">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5" customHeight="1" x14ac:dyDescent="0.3">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5" customHeight="1" x14ac:dyDescent="0.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5" customHeight="1" x14ac:dyDescent="0.3">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5" customHeight="1" x14ac:dyDescent="0.3">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5" customHeight="1" x14ac:dyDescent="0.3">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5" customHeight="1" x14ac:dyDescent="0.3">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5" customHeight="1" x14ac:dyDescent="0.3">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5" customHeight="1" x14ac:dyDescent="0.3">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5" customHeight="1" x14ac:dyDescent="0.3">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5" customHeight="1" x14ac:dyDescent="0.3">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5" customHeight="1" x14ac:dyDescent="0.3">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5" customHeight="1" x14ac:dyDescent="0.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5" customHeight="1" x14ac:dyDescent="0.3">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5" customHeight="1" x14ac:dyDescent="0.3">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5" customHeight="1" x14ac:dyDescent="0.3">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5" customHeight="1" x14ac:dyDescent="0.3">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5" customHeight="1" x14ac:dyDescent="0.3">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5" customHeight="1" x14ac:dyDescent="0.3">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5" customHeight="1" x14ac:dyDescent="0.3">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5" customHeight="1" x14ac:dyDescent="0.3">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5" customHeight="1" x14ac:dyDescent="0.3">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5" customHeight="1" x14ac:dyDescent="0.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5" customHeight="1" x14ac:dyDescent="0.3">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5" customHeight="1" x14ac:dyDescent="0.3">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5" customHeight="1" x14ac:dyDescent="0.3">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5" customHeight="1" x14ac:dyDescent="0.3">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5" customHeight="1" x14ac:dyDescent="0.3">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5" customHeight="1" x14ac:dyDescent="0.3">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5" customHeight="1" x14ac:dyDescent="0.3">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5" customHeight="1" x14ac:dyDescent="0.3">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5" customHeight="1" x14ac:dyDescent="0.3">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5" customHeight="1" x14ac:dyDescent="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5" customHeight="1" x14ac:dyDescent="0.3">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5" customHeight="1" x14ac:dyDescent="0.3">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5" customHeight="1" x14ac:dyDescent="0.3">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5" customHeight="1" x14ac:dyDescent="0.3">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5" customHeight="1" x14ac:dyDescent="0.3">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5" customHeight="1" x14ac:dyDescent="0.3">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5" customHeight="1" x14ac:dyDescent="0.3">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5" customHeight="1" x14ac:dyDescent="0.3">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5" customHeight="1" x14ac:dyDescent="0.3">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5" customHeight="1" x14ac:dyDescent="0.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5" customHeight="1" x14ac:dyDescent="0.3">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5" customHeight="1" x14ac:dyDescent="0.3">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5" customHeight="1" x14ac:dyDescent="0.3">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5" customHeight="1" x14ac:dyDescent="0.3">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5" customHeight="1" x14ac:dyDescent="0.3">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5" customHeight="1" x14ac:dyDescent="0.3">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5" customHeight="1" x14ac:dyDescent="0.3">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5" customHeight="1" x14ac:dyDescent="0.3">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5" customHeight="1" x14ac:dyDescent="0.3">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5" customHeight="1" x14ac:dyDescent="0.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5" customHeight="1" x14ac:dyDescent="0.3">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5" customHeight="1" x14ac:dyDescent="0.3">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5" customHeight="1" x14ac:dyDescent="0.3">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5" customHeight="1" x14ac:dyDescent="0.3">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5" customHeight="1" x14ac:dyDescent="0.3">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5" customHeight="1" x14ac:dyDescent="0.3">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5" customHeight="1" x14ac:dyDescent="0.3">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5" customHeight="1" x14ac:dyDescent="0.3">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5" customHeight="1" x14ac:dyDescent="0.3">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5" customHeight="1" x14ac:dyDescent="0.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5" customHeight="1" x14ac:dyDescent="0.3">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5" customHeight="1" x14ac:dyDescent="0.3">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5" customHeight="1" x14ac:dyDescent="0.3">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5" customHeight="1" x14ac:dyDescent="0.3">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5" customHeight="1" x14ac:dyDescent="0.3">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5" customHeight="1" x14ac:dyDescent="0.3">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5" customHeight="1" x14ac:dyDescent="0.3">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5" customHeight="1" x14ac:dyDescent="0.3">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5" customHeight="1" x14ac:dyDescent="0.3">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5" customHeight="1" x14ac:dyDescent="0.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5" customHeight="1" x14ac:dyDescent="0.3">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5" customHeight="1" x14ac:dyDescent="0.3">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5" customHeight="1" x14ac:dyDescent="0.3">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5" customHeight="1" x14ac:dyDescent="0.3">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5" customHeight="1" x14ac:dyDescent="0.3">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5" customHeight="1" x14ac:dyDescent="0.3">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5" customHeight="1" x14ac:dyDescent="0.3">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5" customHeight="1" x14ac:dyDescent="0.3">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5" customHeight="1" x14ac:dyDescent="0.3">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5" customHeight="1" x14ac:dyDescent="0.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5" customHeight="1" x14ac:dyDescent="0.3">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5" customHeight="1" x14ac:dyDescent="0.3">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5" customHeight="1" x14ac:dyDescent="0.3">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5" customHeight="1" x14ac:dyDescent="0.3">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5" customHeight="1" x14ac:dyDescent="0.3">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5" customHeight="1" x14ac:dyDescent="0.3">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5" customHeight="1" x14ac:dyDescent="0.3">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5" customHeight="1" x14ac:dyDescent="0.3">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5" customHeight="1" x14ac:dyDescent="0.3">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5" customHeight="1" x14ac:dyDescent="0.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5" customHeight="1" x14ac:dyDescent="0.3">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5" customHeight="1" x14ac:dyDescent="0.3">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5" customHeight="1" x14ac:dyDescent="0.3">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5" customHeight="1" x14ac:dyDescent="0.3">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5" customHeight="1" x14ac:dyDescent="0.3">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5" customHeight="1" x14ac:dyDescent="0.3">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5" customHeight="1" x14ac:dyDescent="0.3">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5" customHeight="1" x14ac:dyDescent="0.3">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5" customHeight="1" x14ac:dyDescent="0.3">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5" customHeight="1" x14ac:dyDescent="0.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5" customHeight="1" x14ac:dyDescent="0.3">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5" customHeight="1" x14ac:dyDescent="0.3">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5" customHeight="1" x14ac:dyDescent="0.3">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5" customHeight="1" x14ac:dyDescent="0.3">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5" customHeight="1" x14ac:dyDescent="0.3">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5" customHeight="1" x14ac:dyDescent="0.3">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5" customHeight="1" x14ac:dyDescent="0.3">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5" customHeight="1" x14ac:dyDescent="0.3">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5" customHeight="1" x14ac:dyDescent="0.3">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5" customHeight="1" x14ac:dyDescent="0.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5" customHeight="1" x14ac:dyDescent="0.3">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5" customHeight="1" x14ac:dyDescent="0.3">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5" customHeight="1" x14ac:dyDescent="0.3">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sheetData>
  <mergeCells count="27">
    <mergeCell ref="C34:E34"/>
    <mergeCell ref="C15:E15"/>
    <mergeCell ref="C24:E24"/>
    <mergeCell ref="C33:E33"/>
    <mergeCell ref="C14:E14"/>
    <mergeCell ref="C32:E32"/>
    <mergeCell ref="C28:E28"/>
    <mergeCell ref="C19:E19"/>
    <mergeCell ref="C18:E18"/>
    <mergeCell ref="C30:E30"/>
    <mergeCell ref="C16:E16"/>
    <mergeCell ref="C31:E31"/>
    <mergeCell ref="C22:E22"/>
    <mergeCell ref="C21:E21"/>
    <mergeCell ref="C27:E27"/>
    <mergeCell ref="C23:E23"/>
    <mergeCell ref="B8:E8"/>
    <mergeCell ref="C26:E26"/>
    <mergeCell ref="C29:E29"/>
    <mergeCell ref="C20:E20"/>
    <mergeCell ref="C25:E25"/>
    <mergeCell ref="C10:E10"/>
    <mergeCell ref="C13:E13"/>
    <mergeCell ref="C9:E9"/>
    <mergeCell ref="C12:E12"/>
    <mergeCell ref="C11:E11"/>
    <mergeCell ref="C17:E17"/>
  </mergeCells>
  <pageMargins left="0.7" right="0.7" top="0.75" bottom="0.75" header="0.3" footer="0.3"/>
  <pageSetup orientation="portrait"/>
  <headerFooter>
    <oddHeader>&amp;L&amp;"Arial,Regular"&amp;10 &amp;K000000RESTRICTED  - Third Party</oddHeader>
    <oddFooter>&amp;R&amp;"Courier New"&amp;10 &amp;K0078D7#مقيد – عام</oddFooter>
    <evenHeader>&amp;L&amp;"Arial,Regular"&amp;10 &amp;K000000RESTRICTED  - Third Party</evenHeader>
    <firstHeader>&amp;L&amp;"Arial,Regular"&amp;10 &amp;K000000RESTRICTED  - Third Party</first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rgb="FF07A3A5"/>
    <pageSetUpPr autoPageBreaks="0"/>
  </sheetPr>
  <dimension ref="A1:AP990"/>
  <sheetViews>
    <sheetView tabSelected="1" zoomScale="70" zoomScaleNormal="70" workbookViewId="0">
      <pane ySplit="11" topLeftCell="A16" activePane="bottomLeft" state="frozen"/>
      <selection pane="bottomLeft" activeCell="C19" sqref="C19"/>
    </sheetView>
  </sheetViews>
  <sheetFormatPr defaultColWidth="14.44140625" defaultRowHeight="15" customHeight="1" x14ac:dyDescent="0.3"/>
  <cols>
    <col min="1" max="1" width="8.88671875" style="29" customWidth="1"/>
    <col min="2" max="25" width="18.44140625" style="29" customWidth="1"/>
    <col min="26" max="42" width="8.88671875" style="29" customWidth="1"/>
    <col min="43" max="43" width="14.44140625" style="29" customWidth="1"/>
    <col min="44" max="16384" width="14.44140625" style="29"/>
  </cols>
  <sheetData>
    <row r="1" spans="1:42" ht="15" customHeight="1" x14ac:dyDescent="0.3">
      <c r="A1" s="36"/>
      <c r="B1" s="37"/>
      <c r="C1" s="37"/>
      <c r="D1" s="38"/>
      <c r="E1" s="37"/>
      <c r="F1" s="37"/>
      <c r="G1" s="37"/>
      <c r="H1" s="37"/>
      <c r="I1" s="37"/>
      <c r="J1" s="37"/>
      <c r="K1" s="37"/>
      <c r="L1" s="37"/>
      <c r="M1" s="37"/>
      <c r="N1" s="37"/>
      <c r="O1" s="37"/>
      <c r="P1" s="37"/>
      <c r="Q1" s="37"/>
      <c r="R1" s="37"/>
      <c r="S1" s="37"/>
      <c r="T1" s="37"/>
      <c r="U1" s="37"/>
      <c r="V1" s="37"/>
      <c r="W1" s="37"/>
      <c r="X1" s="37"/>
      <c r="Y1" s="37"/>
      <c r="Z1" s="39"/>
      <c r="AA1" s="32"/>
      <c r="AB1" s="32"/>
      <c r="AC1" s="32"/>
      <c r="AD1" s="32"/>
      <c r="AE1" s="32"/>
      <c r="AF1" s="32"/>
      <c r="AG1" s="32"/>
      <c r="AH1" s="32"/>
      <c r="AI1" s="32"/>
      <c r="AJ1" s="32"/>
      <c r="AK1" s="32"/>
      <c r="AL1" s="32"/>
      <c r="AM1" s="32"/>
      <c r="AN1" s="32"/>
      <c r="AO1" s="32"/>
      <c r="AP1" s="32"/>
    </row>
    <row r="2" spans="1:42" ht="15" customHeight="1" x14ac:dyDescent="0.3">
      <c r="A2" s="40"/>
      <c r="B2" s="4"/>
      <c r="C2" s="4"/>
      <c r="D2" s="4"/>
      <c r="E2" s="4"/>
      <c r="F2" s="4"/>
      <c r="G2" s="4"/>
      <c r="H2" s="4"/>
      <c r="I2" s="4"/>
      <c r="J2" s="4"/>
      <c r="K2" s="4"/>
      <c r="L2" s="4"/>
      <c r="M2" s="4"/>
      <c r="N2" s="4"/>
      <c r="O2" s="4"/>
      <c r="P2" s="4"/>
      <c r="Q2" s="4"/>
      <c r="R2" s="4"/>
      <c r="S2" s="4"/>
      <c r="T2" s="4"/>
      <c r="U2" s="4"/>
      <c r="V2" s="4"/>
      <c r="W2" s="4"/>
      <c r="X2" s="4"/>
      <c r="Y2" s="4"/>
      <c r="Z2" s="41"/>
      <c r="AA2" s="32"/>
      <c r="AB2" s="32"/>
      <c r="AC2" s="32"/>
      <c r="AD2" s="32"/>
      <c r="AE2" s="32"/>
      <c r="AF2" s="32"/>
      <c r="AG2" s="32"/>
      <c r="AH2" s="32"/>
      <c r="AI2" s="32"/>
      <c r="AJ2" s="32"/>
      <c r="AK2" s="32"/>
      <c r="AL2" s="32"/>
      <c r="AM2" s="32"/>
      <c r="AN2" s="32"/>
      <c r="AO2" s="32"/>
      <c r="AP2" s="32"/>
    </row>
    <row r="3" spans="1:42" ht="15" customHeight="1" x14ac:dyDescent="0.3">
      <c r="A3" s="40"/>
      <c r="B3" s="4"/>
      <c r="C3" s="4"/>
      <c r="D3" s="4"/>
      <c r="E3" s="4"/>
      <c r="F3" s="4"/>
      <c r="G3" s="4"/>
      <c r="H3" s="4"/>
      <c r="I3" s="4"/>
      <c r="J3" s="4"/>
      <c r="K3" s="4"/>
      <c r="L3" s="4"/>
      <c r="M3" s="4"/>
      <c r="N3" s="4"/>
      <c r="O3" s="4"/>
      <c r="P3" s="4"/>
      <c r="Q3" s="4"/>
      <c r="R3" s="4"/>
      <c r="S3" s="4"/>
      <c r="T3" s="4"/>
      <c r="U3" s="4"/>
      <c r="V3" s="4"/>
      <c r="W3" s="4"/>
      <c r="X3" s="4"/>
      <c r="Y3" s="4"/>
      <c r="Z3" s="41"/>
      <c r="AA3" s="32"/>
      <c r="AB3" s="32"/>
      <c r="AC3" s="32"/>
      <c r="AD3" s="32"/>
      <c r="AE3" s="32"/>
      <c r="AF3" s="32"/>
      <c r="AG3" s="32"/>
      <c r="AH3" s="32"/>
      <c r="AI3" s="32"/>
      <c r="AJ3" s="32"/>
      <c r="AK3" s="32"/>
      <c r="AL3" s="32"/>
      <c r="AM3" s="32"/>
      <c r="AN3" s="32"/>
      <c r="AO3" s="32"/>
      <c r="AP3" s="32"/>
    </row>
    <row r="4" spans="1:42" ht="15" customHeight="1" x14ac:dyDescent="0.3">
      <c r="A4" s="40"/>
      <c r="B4" s="4"/>
      <c r="C4" s="4"/>
      <c r="D4" s="4"/>
      <c r="E4" s="4"/>
      <c r="F4" s="4"/>
      <c r="G4" s="4"/>
      <c r="H4" s="4"/>
      <c r="I4" s="4"/>
      <c r="J4" s="4"/>
      <c r="K4" s="4"/>
      <c r="L4" s="4"/>
      <c r="M4" s="4"/>
      <c r="N4" s="4"/>
      <c r="O4" s="4"/>
      <c r="P4" s="4"/>
      <c r="Q4" s="4"/>
      <c r="R4" s="4"/>
      <c r="S4" s="4"/>
      <c r="T4" s="4"/>
      <c r="U4" s="4"/>
      <c r="V4" s="4"/>
      <c r="W4" s="4"/>
      <c r="X4" s="4"/>
      <c r="Y4" s="4"/>
      <c r="Z4" s="41"/>
      <c r="AA4" s="32"/>
      <c r="AB4" s="32"/>
      <c r="AC4" s="32"/>
      <c r="AD4" s="32"/>
      <c r="AE4" s="32"/>
      <c r="AF4" s="32"/>
      <c r="AG4" s="32"/>
      <c r="AH4" s="32"/>
      <c r="AI4" s="32"/>
      <c r="AJ4" s="32"/>
      <c r="AK4" s="32"/>
      <c r="AL4" s="32"/>
      <c r="AM4" s="32"/>
      <c r="AN4" s="32"/>
      <c r="AO4" s="32"/>
      <c r="AP4" s="32"/>
    </row>
    <row r="5" spans="1:42" ht="15" customHeight="1" x14ac:dyDescent="0.3">
      <c r="A5" s="40"/>
      <c r="B5" s="4"/>
      <c r="C5" s="4"/>
      <c r="D5" s="4"/>
      <c r="E5" s="4"/>
      <c r="F5" s="4"/>
      <c r="G5" s="4"/>
      <c r="H5" s="4"/>
      <c r="I5" s="4"/>
      <c r="J5" s="4"/>
      <c r="K5" s="4"/>
      <c r="L5" s="4"/>
      <c r="M5" s="4"/>
      <c r="N5" s="4"/>
      <c r="O5" s="4"/>
      <c r="P5" s="4"/>
      <c r="Q5" s="4"/>
      <c r="R5" s="4"/>
      <c r="S5" s="4"/>
      <c r="T5" s="4"/>
      <c r="U5" s="4"/>
      <c r="V5" s="4"/>
      <c r="W5" s="4"/>
      <c r="X5" s="4"/>
      <c r="Y5" s="4"/>
      <c r="Z5" s="41"/>
      <c r="AA5" s="32"/>
      <c r="AB5" s="32"/>
      <c r="AC5" s="32"/>
      <c r="AD5" s="32"/>
      <c r="AE5" s="32"/>
      <c r="AF5" s="32"/>
      <c r="AG5" s="32"/>
      <c r="AH5" s="32"/>
      <c r="AI5" s="32"/>
      <c r="AJ5" s="32"/>
      <c r="AK5" s="32"/>
      <c r="AL5" s="32"/>
      <c r="AM5" s="32"/>
      <c r="AN5" s="32"/>
      <c r="AO5" s="32"/>
      <c r="AP5" s="32"/>
    </row>
    <row r="6" spans="1:42" ht="15" customHeight="1" x14ac:dyDescent="0.3">
      <c r="A6" s="40"/>
      <c r="B6" s="4"/>
      <c r="C6" s="4"/>
      <c r="D6" s="4"/>
      <c r="E6" s="4"/>
      <c r="F6" s="4"/>
      <c r="G6" s="4"/>
      <c r="H6" s="4"/>
      <c r="I6" s="4"/>
      <c r="J6" s="4"/>
      <c r="K6" s="4"/>
      <c r="L6" s="4"/>
      <c r="M6" s="4"/>
      <c r="N6" s="4"/>
      <c r="O6" s="4"/>
      <c r="P6" s="4"/>
      <c r="Q6" s="4"/>
      <c r="R6" s="4"/>
      <c r="S6" s="4"/>
      <c r="T6" s="4"/>
      <c r="U6" s="4"/>
      <c r="V6" s="4"/>
      <c r="W6" s="4"/>
      <c r="X6" s="4"/>
      <c r="Y6" s="4"/>
      <c r="Z6" s="41"/>
      <c r="AA6" s="32"/>
      <c r="AB6" s="32"/>
      <c r="AC6" s="32"/>
      <c r="AD6" s="32"/>
      <c r="AE6" s="32"/>
      <c r="AF6" s="32"/>
      <c r="AG6" s="32"/>
      <c r="AH6" s="32"/>
      <c r="AI6" s="32"/>
      <c r="AJ6" s="32"/>
      <c r="AK6" s="32"/>
      <c r="AL6" s="32"/>
      <c r="AM6" s="32"/>
      <c r="AN6" s="32"/>
      <c r="AO6" s="32"/>
      <c r="AP6" s="32"/>
    </row>
    <row r="7" spans="1:42" ht="15" customHeight="1" x14ac:dyDescent="0.3">
      <c r="A7" s="40"/>
      <c r="B7" s="4"/>
      <c r="C7" s="4"/>
      <c r="D7" s="4"/>
      <c r="E7" s="4"/>
      <c r="F7" s="4"/>
      <c r="G7" s="4"/>
      <c r="H7" s="4"/>
      <c r="I7" s="4"/>
      <c r="J7" s="4"/>
      <c r="K7" s="4"/>
      <c r="L7" s="4"/>
      <c r="M7" s="4"/>
      <c r="N7" s="4"/>
      <c r="O7" s="4"/>
      <c r="P7" s="4"/>
      <c r="Q7" s="4"/>
      <c r="R7" s="4"/>
      <c r="S7" s="4"/>
      <c r="T7" s="4"/>
      <c r="U7" s="4"/>
      <c r="V7" s="4"/>
      <c r="W7" s="4"/>
      <c r="X7" s="4"/>
      <c r="Y7" s="4"/>
      <c r="Z7" s="41"/>
      <c r="AA7" s="32"/>
      <c r="AB7" s="32"/>
      <c r="AC7" s="32"/>
      <c r="AD7" s="32"/>
      <c r="AE7" s="32"/>
      <c r="AF7" s="32"/>
      <c r="AG7" s="32"/>
      <c r="AH7" s="32"/>
      <c r="AI7" s="32"/>
      <c r="AJ7" s="32"/>
      <c r="AK7" s="32"/>
      <c r="AL7" s="32"/>
      <c r="AM7" s="32"/>
      <c r="AN7" s="32"/>
      <c r="AO7" s="32"/>
      <c r="AP7" s="32"/>
    </row>
    <row r="8" spans="1:42" ht="15" customHeight="1" x14ac:dyDescent="0.3">
      <c r="A8" s="40"/>
      <c r="B8" s="64" t="str">
        <f>'Cover Page'!F24</f>
        <v>Confidential</v>
      </c>
      <c r="C8" s="4"/>
      <c r="D8" s="4"/>
      <c r="E8" s="4"/>
      <c r="F8" s="4"/>
      <c r="G8" s="4"/>
      <c r="H8" s="4"/>
      <c r="I8" s="4"/>
      <c r="J8" s="4"/>
      <c r="K8" s="4"/>
      <c r="L8" s="4"/>
      <c r="M8" s="4"/>
      <c r="N8" s="4"/>
      <c r="O8" s="4"/>
      <c r="P8" s="4"/>
      <c r="Q8" s="4"/>
      <c r="R8" s="4"/>
      <c r="S8" s="4"/>
      <c r="T8" s="4"/>
      <c r="U8" s="4"/>
      <c r="V8" s="4"/>
      <c r="W8" s="4"/>
      <c r="X8" s="4"/>
      <c r="Y8" s="4"/>
      <c r="Z8" s="41"/>
      <c r="AA8" s="32"/>
      <c r="AB8" s="32"/>
      <c r="AC8" s="32"/>
      <c r="AD8" s="32"/>
      <c r="AE8" s="32"/>
      <c r="AF8" s="32"/>
      <c r="AG8" s="32"/>
      <c r="AH8" s="32"/>
      <c r="AI8" s="32"/>
      <c r="AJ8" s="32"/>
      <c r="AK8" s="32"/>
      <c r="AL8" s="32"/>
      <c r="AM8" s="32"/>
      <c r="AN8" s="32"/>
      <c r="AO8" s="32"/>
      <c r="AP8" s="32"/>
    </row>
    <row r="9" spans="1:42" ht="15" customHeight="1" x14ac:dyDescent="0.3">
      <c r="A9" s="82">
        <v>0.27013888888888887</v>
      </c>
      <c r="B9" s="4"/>
      <c r="C9" s="4"/>
      <c r="D9" s="4"/>
      <c r="E9" s="4"/>
      <c r="F9" s="4"/>
      <c r="G9" s="4"/>
      <c r="H9" s="4"/>
      <c r="I9" s="4"/>
      <c r="J9" s="4"/>
      <c r="K9" s="4"/>
      <c r="L9" s="4"/>
      <c r="M9" s="4"/>
      <c r="N9" s="4"/>
      <c r="O9" s="4"/>
      <c r="P9" s="4"/>
      <c r="Q9" s="4"/>
      <c r="R9" s="4"/>
      <c r="S9" s="4"/>
      <c r="T9" s="4"/>
      <c r="U9" s="4"/>
      <c r="V9" s="4"/>
      <c r="W9" s="4"/>
      <c r="X9" s="4"/>
      <c r="Y9" s="4"/>
      <c r="Z9" s="41"/>
      <c r="AA9" s="32"/>
      <c r="AB9" s="32"/>
      <c r="AC9" s="32"/>
      <c r="AD9" s="32"/>
      <c r="AE9" s="32"/>
      <c r="AF9" s="32"/>
      <c r="AG9" s="32"/>
      <c r="AH9" s="32"/>
      <c r="AI9" s="32"/>
      <c r="AJ9" s="32"/>
      <c r="AK9" s="32"/>
      <c r="AL9" s="32"/>
      <c r="AM9" s="32"/>
      <c r="AN9" s="32"/>
      <c r="AO9" s="32"/>
      <c r="AP9" s="32"/>
    </row>
    <row r="10" spans="1:42" ht="24.6" customHeight="1" x14ac:dyDescent="0.3">
      <c r="A10" s="43"/>
      <c r="B10" s="107" t="s">
        <v>0</v>
      </c>
      <c r="C10" s="98"/>
      <c r="D10" s="98"/>
      <c r="E10" s="98"/>
      <c r="F10" s="98"/>
      <c r="G10" s="98"/>
      <c r="H10" s="98"/>
      <c r="I10" s="98"/>
      <c r="J10" s="98"/>
      <c r="K10" s="98"/>
      <c r="L10" s="98"/>
      <c r="M10" s="98"/>
      <c r="N10" s="98"/>
      <c r="O10" s="98"/>
      <c r="P10" s="98"/>
      <c r="Q10" s="98"/>
      <c r="R10" s="98"/>
      <c r="S10" s="98"/>
      <c r="T10" s="98"/>
      <c r="U10" s="98"/>
      <c r="V10" s="98"/>
      <c r="W10" s="98"/>
      <c r="X10" s="98"/>
      <c r="Y10" s="99"/>
      <c r="Z10" s="41"/>
      <c r="AA10" s="32"/>
      <c r="AB10" s="32"/>
      <c r="AC10" s="32"/>
      <c r="AD10" s="32"/>
      <c r="AE10" s="32"/>
      <c r="AF10" s="32"/>
      <c r="AG10" s="32"/>
      <c r="AH10" s="32"/>
      <c r="AI10" s="32"/>
      <c r="AJ10" s="32"/>
      <c r="AK10" s="32"/>
      <c r="AL10" s="32"/>
      <c r="AM10" s="32"/>
      <c r="AN10" s="32"/>
      <c r="AO10" s="32"/>
      <c r="AP10" s="32"/>
    </row>
    <row r="11" spans="1:42" ht="101.25" customHeight="1" x14ac:dyDescent="0.3">
      <c r="A11" s="43"/>
      <c r="B11" s="74" t="s">
        <v>1</v>
      </c>
      <c r="C11" s="74" t="s">
        <v>2</v>
      </c>
      <c r="D11" s="74" t="s">
        <v>3</v>
      </c>
      <c r="E11" s="74" t="s">
        <v>4</v>
      </c>
      <c r="F11" s="74" t="s">
        <v>5</v>
      </c>
      <c r="G11" s="74" t="s">
        <v>6</v>
      </c>
      <c r="H11" s="74" t="s">
        <v>7</v>
      </c>
      <c r="I11" s="74" t="s">
        <v>8</v>
      </c>
      <c r="J11" s="74" t="s">
        <v>9</v>
      </c>
      <c r="K11" s="74" t="s">
        <v>10</v>
      </c>
      <c r="L11" s="74" t="s">
        <v>11</v>
      </c>
      <c r="M11" s="74" t="s">
        <v>12</v>
      </c>
      <c r="N11" s="74" t="s">
        <v>13</v>
      </c>
      <c r="O11" s="74" t="s">
        <v>14</v>
      </c>
      <c r="P11" s="74" t="s">
        <v>15</v>
      </c>
      <c r="Q11" s="74" t="s">
        <v>16</v>
      </c>
      <c r="R11" s="74" t="s">
        <v>17</v>
      </c>
      <c r="S11" s="74" t="s">
        <v>18</v>
      </c>
      <c r="T11" s="74" t="s">
        <v>19</v>
      </c>
      <c r="U11" s="74" t="s">
        <v>20</v>
      </c>
      <c r="V11" s="74" t="s">
        <v>21</v>
      </c>
      <c r="W11" s="74" t="s">
        <v>22</v>
      </c>
      <c r="X11" s="74" t="s">
        <v>23</v>
      </c>
      <c r="Y11" s="74" t="s">
        <v>24</v>
      </c>
      <c r="Z11" s="41"/>
      <c r="AA11" s="32"/>
      <c r="AB11" s="32"/>
      <c r="AC11" s="32"/>
      <c r="AD11" s="32"/>
      <c r="AE11" s="32"/>
      <c r="AF11" s="32"/>
      <c r="AG11" s="32"/>
      <c r="AH11" s="32"/>
      <c r="AI11" s="32"/>
      <c r="AJ11" s="32"/>
      <c r="AK11" s="32"/>
      <c r="AL11" s="32"/>
      <c r="AM11" s="32"/>
      <c r="AN11" s="32"/>
      <c r="AO11" s="32"/>
      <c r="AP11" s="32"/>
    </row>
    <row r="12" spans="1:42" ht="85.5" customHeight="1" x14ac:dyDescent="0.3">
      <c r="A12" s="43"/>
      <c r="B12" s="65">
        <v>1</v>
      </c>
      <c r="C12" s="75" t="s">
        <v>25</v>
      </c>
      <c r="D12" s="75" t="s">
        <v>26</v>
      </c>
      <c r="E12" s="76">
        <v>45710</v>
      </c>
      <c r="F12" s="75" t="s">
        <v>27</v>
      </c>
      <c r="G12" s="75" t="s">
        <v>28</v>
      </c>
      <c r="H12" s="75" t="s">
        <v>29</v>
      </c>
      <c r="I12" s="75" t="s">
        <v>30</v>
      </c>
      <c r="J12" s="76">
        <v>45711</v>
      </c>
      <c r="K12" s="75">
        <v>5</v>
      </c>
      <c r="L12" s="75">
        <v>5</v>
      </c>
      <c r="M12" s="44" t="str">
        <f>IF(K12*L12&lt;=3,"Very Low",IF(K12*L12&lt;=6,"Low",IF(K12*L12&lt;=10,"Medium",IF(K12*L12&lt;=16,"High","Critical"))))</f>
        <v>Critical</v>
      </c>
      <c r="N12" s="75" t="s">
        <v>31</v>
      </c>
      <c r="O12" s="75" t="s">
        <v>32</v>
      </c>
      <c r="P12" s="75" t="s">
        <v>33</v>
      </c>
      <c r="Q12" s="75" t="s">
        <v>34</v>
      </c>
      <c r="R12" s="76">
        <v>46081</v>
      </c>
      <c r="S12" s="75" t="s">
        <v>35</v>
      </c>
      <c r="T12" s="75">
        <v>2</v>
      </c>
      <c r="U12" s="75">
        <v>5</v>
      </c>
      <c r="V12" s="44" t="str">
        <f>IF(T12*U12&lt;=3,"Very Low",IF(T12*U12&lt;=6,"Low",IF(T12*U12&lt;=10,"Medium",IF(T12*U12&lt;=16,"High","Critical"))))</f>
        <v>Medium</v>
      </c>
      <c r="W12" s="75" t="s">
        <v>36</v>
      </c>
      <c r="X12" s="76">
        <v>45711</v>
      </c>
      <c r="Y12" s="75" t="s">
        <v>37</v>
      </c>
      <c r="Z12" s="41"/>
      <c r="AA12" s="32"/>
      <c r="AB12" s="32"/>
      <c r="AC12" s="32"/>
      <c r="AD12" s="32"/>
      <c r="AE12" s="32"/>
      <c r="AF12" s="32"/>
      <c r="AG12" s="32"/>
      <c r="AH12" s="32"/>
      <c r="AI12" s="32"/>
      <c r="AJ12" s="32"/>
      <c r="AK12" s="32"/>
      <c r="AL12" s="32"/>
      <c r="AM12" s="32"/>
      <c r="AN12" s="32"/>
      <c r="AO12" s="32"/>
      <c r="AP12" s="32"/>
    </row>
    <row r="13" spans="1:42" ht="85.5" customHeight="1" x14ac:dyDescent="0.3">
      <c r="A13" s="43"/>
      <c r="B13" s="65">
        <v>2</v>
      </c>
      <c r="C13" s="77" t="s">
        <v>25</v>
      </c>
      <c r="D13" s="77" t="s">
        <v>26</v>
      </c>
      <c r="E13" s="78">
        <v>45710</v>
      </c>
      <c r="F13" s="77" t="s">
        <v>38</v>
      </c>
      <c r="G13" s="77" t="s">
        <v>28</v>
      </c>
      <c r="H13" s="77" t="s">
        <v>39</v>
      </c>
      <c r="I13" s="77" t="s">
        <v>40</v>
      </c>
      <c r="J13" s="78">
        <v>45711</v>
      </c>
      <c r="K13" s="77">
        <v>5</v>
      </c>
      <c r="L13" s="77">
        <v>4</v>
      </c>
      <c r="M13" s="57" t="s">
        <v>41</v>
      </c>
      <c r="N13" s="77" t="s">
        <v>31</v>
      </c>
      <c r="O13" s="77" t="s">
        <v>32</v>
      </c>
      <c r="P13" s="77" t="s">
        <v>33</v>
      </c>
      <c r="Q13" s="77" t="s">
        <v>34</v>
      </c>
      <c r="R13" s="78">
        <v>46081</v>
      </c>
      <c r="S13" s="77" t="s">
        <v>35</v>
      </c>
      <c r="T13" s="77">
        <v>2</v>
      </c>
      <c r="U13" s="77">
        <v>5</v>
      </c>
      <c r="V13" s="57" t="s">
        <v>65</v>
      </c>
      <c r="W13" s="77" t="s">
        <v>36</v>
      </c>
      <c r="X13" s="77" t="s">
        <v>133</v>
      </c>
      <c r="Y13" s="77"/>
      <c r="Z13" s="41"/>
      <c r="AA13" s="32"/>
      <c r="AB13" s="32"/>
      <c r="AC13" s="32"/>
      <c r="AD13" s="32"/>
      <c r="AE13" s="32"/>
      <c r="AF13" s="32"/>
      <c r="AG13" s="32"/>
      <c r="AH13" s="32"/>
      <c r="AI13" s="32"/>
      <c r="AJ13" s="32"/>
      <c r="AK13" s="32"/>
      <c r="AL13" s="32"/>
      <c r="AM13" s="32"/>
      <c r="AN13" s="32"/>
      <c r="AO13" s="32"/>
      <c r="AP13" s="32"/>
    </row>
    <row r="14" spans="1:42" ht="85.5" customHeight="1" x14ac:dyDescent="0.3">
      <c r="A14" s="45" t="s">
        <v>42</v>
      </c>
      <c r="B14" s="65">
        <v>3</v>
      </c>
      <c r="C14" s="75" t="s">
        <v>25</v>
      </c>
      <c r="D14" s="75" t="s">
        <v>26</v>
      </c>
      <c r="E14" s="79">
        <v>45710</v>
      </c>
      <c r="F14" s="75" t="s">
        <v>134</v>
      </c>
      <c r="G14" s="75" t="s">
        <v>28</v>
      </c>
      <c r="H14" s="75" t="s">
        <v>135</v>
      </c>
      <c r="I14" s="75" t="s">
        <v>136</v>
      </c>
      <c r="J14" s="79">
        <v>45711</v>
      </c>
      <c r="K14" s="75">
        <v>4</v>
      </c>
      <c r="L14" s="75">
        <v>3</v>
      </c>
      <c r="M14" s="44" t="s">
        <v>61</v>
      </c>
      <c r="N14" s="75" t="s">
        <v>61</v>
      </c>
      <c r="O14" s="75" t="s">
        <v>32</v>
      </c>
      <c r="P14" s="75" t="s">
        <v>33</v>
      </c>
      <c r="Q14" s="75" t="s">
        <v>137</v>
      </c>
      <c r="R14" s="83">
        <v>46081</v>
      </c>
      <c r="S14" s="75" t="s">
        <v>35</v>
      </c>
      <c r="T14" s="75">
        <v>2</v>
      </c>
      <c r="U14" s="75">
        <v>5</v>
      </c>
      <c r="V14" s="44" t="s">
        <v>65</v>
      </c>
      <c r="W14" s="75" t="s">
        <v>36</v>
      </c>
      <c r="X14" s="75" t="s">
        <v>133</v>
      </c>
      <c r="Y14" s="75"/>
      <c r="Z14" s="41"/>
      <c r="AA14" s="32"/>
      <c r="AB14" s="32"/>
      <c r="AC14" s="32"/>
      <c r="AD14" s="32"/>
      <c r="AE14" s="32"/>
      <c r="AF14" s="32"/>
      <c r="AG14" s="32"/>
      <c r="AH14" s="32"/>
      <c r="AI14" s="32"/>
      <c r="AJ14" s="32"/>
      <c r="AK14" s="32"/>
      <c r="AL14" s="32"/>
      <c r="AM14" s="32"/>
      <c r="AN14" s="32"/>
      <c r="AO14" s="32"/>
      <c r="AP14" s="32"/>
    </row>
    <row r="15" spans="1:42" ht="85.5" customHeight="1" x14ac:dyDescent="0.3">
      <c r="A15" s="45" t="s">
        <v>42</v>
      </c>
      <c r="B15" s="65">
        <v>4</v>
      </c>
      <c r="C15" s="77" t="s">
        <v>25</v>
      </c>
      <c r="D15" s="77" t="s">
        <v>26</v>
      </c>
      <c r="E15" s="78">
        <v>45750</v>
      </c>
      <c r="F15" s="77" t="s">
        <v>138</v>
      </c>
      <c r="G15" s="77" t="s">
        <v>141</v>
      </c>
      <c r="H15" s="77" t="s">
        <v>139</v>
      </c>
      <c r="I15" s="77" t="s">
        <v>140</v>
      </c>
      <c r="J15" s="78">
        <v>46145</v>
      </c>
      <c r="K15" s="77">
        <v>5</v>
      </c>
      <c r="L15" s="77">
        <v>5</v>
      </c>
      <c r="M15" s="57" t="s">
        <v>41</v>
      </c>
      <c r="N15" s="77" t="s">
        <v>31</v>
      </c>
      <c r="O15" s="77" t="s">
        <v>32</v>
      </c>
      <c r="P15" s="77" t="s">
        <v>143</v>
      </c>
      <c r="Q15" s="77" t="s">
        <v>142</v>
      </c>
      <c r="R15" s="78">
        <v>46298</v>
      </c>
      <c r="S15" s="77" t="s">
        <v>144</v>
      </c>
      <c r="T15" s="77">
        <v>3</v>
      </c>
      <c r="U15" s="77">
        <v>3</v>
      </c>
      <c r="V15" s="57" t="s">
        <v>145</v>
      </c>
      <c r="W15" s="77" t="s">
        <v>146</v>
      </c>
      <c r="X15" s="78">
        <v>46329</v>
      </c>
      <c r="Y15" s="77"/>
      <c r="Z15" s="41"/>
      <c r="AA15" s="32"/>
      <c r="AB15" s="32"/>
      <c r="AC15" s="32"/>
      <c r="AD15" s="32"/>
      <c r="AE15" s="32"/>
      <c r="AF15" s="32"/>
      <c r="AG15" s="32"/>
      <c r="AH15" s="32"/>
      <c r="AI15" s="32"/>
      <c r="AJ15" s="32"/>
      <c r="AK15" s="32"/>
      <c r="AL15" s="32"/>
      <c r="AM15" s="32"/>
      <c r="AN15" s="32"/>
      <c r="AO15" s="32"/>
      <c r="AP15" s="32"/>
    </row>
    <row r="16" spans="1:42" ht="85.5" customHeight="1" x14ac:dyDescent="0.3">
      <c r="A16" s="45" t="s">
        <v>42</v>
      </c>
      <c r="B16" s="65">
        <v>5</v>
      </c>
      <c r="C16" s="75" t="s">
        <v>25</v>
      </c>
      <c r="D16" s="75" t="s">
        <v>147</v>
      </c>
      <c r="E16" s="79">
        <v>45933</v>
      </c>
      <c r="F16" s="75" t="s">
        <v>148</v>
      </c>
      <c r="G16" s="75" t="s">
        <v>149</v>
      </c>
      <c r="H16" s="75" t="s">
        <v>150</v>
      </c>
      <c r="I16" s="75" t="s">
        <v>151</v>
      </c>
      <c r="J16" s="79">
        <v>45964</v>
      </c>
      <c r="K16" s="75">
        <v>3</v>
      </c>
      <c r="L16" s="75">
        <v>5</v>
      </c>
      <c r="M16" s="44" t="s">
        <v>31</v>
      </c>
      <c r="N16" s="75" t="s">
        <v>31</v>
      </c>
      <c r="O16" s="75" t="s">
        <v>32</v>
      </c>
      <c r="P16" s="75" t="s">
        <v>154</v>
      </c>
      <c r="Q16" s="75" t="s">
        <v>152</v>
      </c>
      <c r="R16" s="75" t="s">
        <v>153</v>
      </c>
      <c r="S16" s="75" t="s">
        <v>155</v>
      </c>
      <c r="T16" s="75">
        <v>1</v>
      </c>
      <c r="U16" s="75">
        <v>1</v>
      </c>
      <c r="V16" s="44" t="s">
        <v>128</v>
      </c>
      <c r="W16" s="75" t="s">
        <v>156</v>
      </c>
      <c r="X16" s="75" t="s">
        <v>157</v>
      </c>
      <c r="Y16" s="75"/>
      <c r="Z16" s="41"/>
      <c r="AA16" s="32"/>
      <c r="AB16" s="32"/>
      <c r="AC16" s="32"/>
      <c r="AD16" s="32"/>
      <c r="AE16" s="32"/>
      <c r="AF16" s="32"/>
      <c r="AG16" s="32"/>
      <c r="AH16" s="32"/>
      <c r="AI16" s="32"/>
      <c r="AJ16" s="32"/>
      <c r="AK16" s="32"/>
      <c r="AL16" s="32"/>
      <c r="AM16" s="32"/>
      <c r="AN16" s="32"/>
      <c r="AO16" s="32"/>
      <c r="AP16" s="32"/>
    </row>
    <row r="17" spans="1:42" ht="85.5" customHeight="1" x14ac:dyDescent="0.3">
      <c r="A17" s="45" t="s">
        <v>42</v>
      </c>
      <c r="B17" s="65">
        <v>6</v>
      </c>
      <c r="C17" s="75" t="s">
        <v>25</v>
      </c>
      <c r="D17" s="75" t="s">
        <v>158</v>
      </c>
      <c r="E17" s="79" t="s">
        <v>164</v>
      </c>
      <c r="F17" s="75" t="s">
        <v>161</v>
      </c>
      <c r="G17" s="75" t="s">
        <v>160</v>
      </c>
      <c r="H17" s="75" t="s">
        <v>159</v>
      </c>
      <c r="I17" s="75" t="s">
        <v>162</v>
      </c>
      <c r="J17" s="75" t="s">
        <v>163</v>
      </c>
      <c r="K17" s="75">
        <v>4</v>
      </c>
      <c r="L17" s="75">
        <v>4</v>
      </c>
      <c r="M17" s="44" t="s">
        <v>31</v>
      </c>
      <c r="N17" s="75" t="s">
        <v>31</v>
      </c>
      <c r="O17" s="75" t="s">
        <v>32</v>
      </c>
      <c r="P17" s="75" t="s">
        <v>165</v>
      </c>
      <c r="Q17" s="75" t="s">
        <v>166</v>
      </c>
      <c r="R17" s="75" t="s">
        <v>167</v>
      </c>
      <c r="S17" s="75" t="s">
        <v>168</v>
      </c>
      <c r="T17" s="75">
        <v>2</v>
      </c>
      <c r="U17" s="75">
        <v>2</v>
      </c>
      <c r="V17" s="44" t="s">
        <v>69</v>
      </c>
      <c r="W17" s="75" t="s">
        <v>169</v>
      </c>
      <c r="X17" s="75" t="s">
        <v>170</v>
      </c>
      <c r="Y17" s="75"/>
      <c r="Z17" s="41"/>
      <c r="AA17" s="32"/>
      <c r="AB17" s="32"/>
      <c r="AC17" s="32"/>
      <c r="AD17" s="32"/>
      <c r="AE17" s="32"/>
      <c r="AF17" s="32"/>
      <c r="AG17" s="32"/>
      <c r="AH17" s="32"/>
      <c r="AI17" s="32"/>
      <c r="AJ17" s="32"/>
      <c r="AK17" s="32"/>
      <c r="AL17" s="32"/>
      <c r="AM17" s="32"/>
      <c r="AN17" s="32"/>
      <c r="AO17" s="32"/>
      <c r="AP17" s="32"/>
    </row>
    <row r="18" spans="1:42" ht="85.5" customHeight="1" x14ac:dyDescent="0.3">
      <c r="A18" s="45" t="s">
        <v>42</v>
      </c>
      <c r="B18" s="65">
        <v>7</v>
      </c>
      <c r="C18" s="75" t="s">
        <v>25</v>
      </c>
      <c r="D18" s="75" t="s">
        <v>173</v>
      </c>
      <c r="E18" s="79">
        <v>46303</v>
      </c>
      <c r="F18" s="75" t="s">
        <v>171</v>
      </c>
      <c r="G18" s="75" t="s">
        <v>172</v>
      </c>
      <c r="H18" s="75" t="s">
        <v>174</v>
      </c>
      <c r="I18" s="75"/>
      <c r="J18" s="79">
        <v>46334</v>
      </c>
      <c r="K18" s="75">
        <v>5</v>
      </c>
      <c r="L18" s="75">
        <v>5</v>
      </c>
      <c r="M18" s="44" t="s">
        <v>31</v>
      </c>
      <c r="N18" s="75" t="s">
        <v>31</v>
      </c>
      <c r="O18" s="75" t="s">
        <v>32</v>
      </c>
      <c r="P18" s="75"/>
      <c r="Q18" s="75" t="s">
        <v>173</v>
      </c>
      <c r="R18" s="75" t="s">
        <v>175</v>
      </c>
      <c r="S18" s="75" t="s">
        <v>176</v>
      </c>
      <c r="T18" s="75">
        <v>4</v>
      </c>
      <c r="U18" s="75">
        <v>4</v>
      </c>
      <c r="V18" s="44" t="s">
        <v>31</v>
      </c>
      <c r="W18" s="75" t="s">
        <v>177</v>
      </c>
      <c r="X18" s="75" t="s">
        <v>178</v>
      </c>
      <c r="Y18" s="75"/>
      <c r="Z18" s="41"/>
      <c r="AA18" s="32"/>
      <c r="AB18" s="32"/>
      <c r="AC18" s="32"/>
      <c r="AD18" s="32"/>
      <c r="AE18" s="32"/>
      <c r="AF18" s="32"/>
      <c r="AG18" s="32"/>
      <c r="AH18" s="32"/>
      <c r="AI18" s="32"/>
      <c r="AJ18" s="32"/>
      <c r="AK18" s="32"/>
      <c r="AL18" s="32"/>
      <c r="AM18" s="32"/>
      <c r="AN18" s="32"/>
      <c r="AO18" s="32"/>
      <c r="AP18" s="32"/>
    </row>
    <row r="19" spans="1:42" ht="85.5" customHeight="1" x14ac:dyDescent="0.3">
      <c r="A19" s="45" t="s">
        <v>42</v>
      </c>
      <c r="B19" s="65">
        <v>8</v>
      </c>
      <c r="C19" s="75" t="s">
        <v>25</v>
      </c>
      <c r="D19" s="75" t="s">
        <v>184</v>
      </c>
      <c r="E19" s="79" t="s">
        <v>183</v>
      </c>
      <c r="F19" s="75" t="s">
        <v>179</v>
      </c>
      <c r="G19" s="75" t="s">
        <v>181</v>
      </c>
      <c r="H19" s="75" t="s">
        <v>182</v>
      </c>
      <c r="I19" s="75" t="s">
        <v>180</v>
      </c>
      <c r="J19" s="75" t="s">
        <v>186</v>
      </c>
      <c r="K19" s="75">
        <v>5</v>
      </c>
      <c r="L19" s="75">
        <v>5</v>
      </c>
      <c r="M19" s="44" t="s">
        <v>31</v>
      </c>
      <c r="N19" s="75" t="s">
        <v>31</v>
      </c>
      <c r="O19" s="75" t="s">
        <v>32</v>
      </c>
      <c r="P19" s="75" t="s">
        <v>185</v>
      </c>
      <c r="Q19" s="75" t="s">
        <v>184</v>
      </c>
      <c r="R19" s="75" t="s">
        <v>187</v>
      </c>
      <c r="S19" s="75"/>
      <c r="T19" s="75">
        <v>3</v>
      </c>
      <c r="U19" s="75">
        <v>3</v>
      </c>
      <c r="V19" s="44" t="s">
        <v>65</v>
      </c>
      <c r="W19" s="75" t="s">
        <v>185</v>
      </c>
      <c r="X19" s="75" t="s">
        <v>188</v>
      </c>
      <c r="Y19" s="75"/>
      <c r="Z19" s="41"/>
      <c r="AA19" s="32"/>
      <c r="AB19" s="32"/>
      <c r="AC19" s="32"/>
      <c r="AD19" s="32"/>
      <c r="AE19" s="32"/>
      <c r="AF19" s="32"/>
      <c r="AG19" s="32"/>
      <c r="AH19" s="32"/>
      <c r="AI19" s="32"/>
      <c r="AJ19" s="32"/>
      <c r="AK19" s="32"/>
      <c r="AL19" s="32"/>
      <c r="AM19" s="32"/>
      <c r="AN19" s="32"/>
      <c r="AO19" s="32"/>
      <c r="AP19" s="32"/>
    </row>
    <row r="20" spans="1:42" ht="85.5" customHeight="1" x14ac:dyDescent="0.3">
      <c r="A20" s="45" t="s">
        <v>42</v>
      </c>
      <c r="B20" s="65">
        <v>9</v>
      </c>
      <c r="C20" s="75"/>
      <c r="D20" s="75"/>
      <c r="E20" s="79"/>
      <c r="F20" s="75"/>
      <c r="G20" s="75"/>
      <c r="H20" s="75"/>
      <c r="I20" s="75"/>
      <c r="J20" s="75"/>
      <c r="K20" s="75"/>
      <c r="L20" s="75"/>
      <c r="M20" s="44"/>
      <c r="N20" s="75" t="s">
        <v>43</v>
      </c>
      <c r="O20" s="75"/>
      <c r="P20" s="75"/>
      <c r="Q20" s="75"/>
      <c r="R20" s="75"/>
      <c r="S20" s="75"/>
      <c r="T20" s="75"/>
      <c r="U20" s="75"/>
      <c r="V20" s="44"/>
      <c r="W20" s="75"/>
      <c r="X20" s="75"/>
      <c r="Y20" s="75"/>
      <c r="Z20" s="41"/>
      <c r="AA20" s="32"/>
      <c r="AB20" s="32"/>
      <c r="AC20" s="32"/>
      <c r="AD20" s="32"/>
      <c r="AE20" s="32"/>
      <c r="AF20" s="32"/>
      <c r="AG20" s="32"/>
      <c r="AH20" s="32"/>
      <c r="AI20" s="32"/>
      <c r="AJ20" s="32"/>
      <c r="AK20" s="32"/>
      <c r="AL20" s="32"/>
      <c r="AM20" s="32"/>
      <c r="AN20" s="32"/>
      <c r="AO20" s="32"/>
      <c r="AP20" s="32"/>
    </row>
    <row r="21" spans="1:42" ht="85.5" customHeight="1" x14ac:dyDescent="0.3">
      <c r="A21" s="45" t="s">
        <v>42</v>
      </c>
      <c r="B21" s="65">
        <v>10</v>
      </c>
      <c r="C21" s="75"/>
      <c r="D21" s="75"/>
      <c r="E21" s="79"/>
      <c r="F21" s="75"/>
      <c r="G21" s="75"/>
      <c r="H21" s="75"/>
      <c r="I21" s="75"/>
      <c r="J21" s="75"/>
      <c r="K21" s="75"/>
      <c r="L21" s="75"/>
      <c r="M21" s="44"/>
      <c r="N21" s="75" t="s">
        <v>43</v>
      </c>
      <c r="O21" s="75"/>
      <c r="P21" s="75"/>
      <c r="Q21" s="75"/>
      <c r="R21" s="75"/>
      <c r="S21" s="75"/>
      <c r="T21" s="75"/>
      <c r="U21" s="75"/>
      <c r="V21" s="44"/>
      <c r="W21" s="75"/>
      <c r="X21" s="75"/>
      <c r="Y21" s="75"/>
      <c r="Z21" s="41"/>
      <c r="AA21" s="32"/>
      <c r="AB21" s="32"/>
      <c r="AC21" s="32"/>
      <c r="AD21" s="32"/>
      <c r="AE21" s="32"/>
      <c r="AF21" s="32"/>
      <c r="AG21" s="32"/>
      <c r="AH21" s="32"/>
      <c r="AI21" s="32"/>
      <c r="AJ21" s="32"/>
      <c r="AK21" s="32"/>
      <c r="AL21" s="32"/>
      <c r="AM21" s="32"/>
      <c r="AN21" s="32"/>
      <c r="AO21" s="32"/>
      <c r="AP21" s="32"/>
    </row>
    <row r="22" spans="1:42" ht="85.5" customHeight="1" x14ac:dyDescent="0.3">
      <c r="A22" s="45" t="s">
        <v>42</v>
      </c>
      <c r="B22" s="65">
        <v>11</v>
      </c>
      <c r="C22" s="75"/>
      <c r="D22" s="75"/>
      <c r="E22" s="79"/>
      <c r="F22" s="75"/>
      <c r="G22" s="75"/>
      <c r="H22" s="75"/>
      <c r="I22" s="75"/>
      <c r="J22" s="75"/>
      <c r="K22" s="75"/>
      <c r="L22" s="75"/>
      <c r="M22" s="44"/>
      <c r="N22" s="75" t="s">
        <v>43</v>
      </c>
      <c r="O22" s="75"/>
      <c r="P22" s="75"/>
      <c r="Q22" s="75"/>
      <c r="R22" s="75"/>
      <c r="S22" s="75"/>
      <c r="T22" s="75"/>
      <c r="U22" s="75"/>
      <c r="V22" s="44"/>
      <c r="W22" s="75"/>
      <c r="X22" s="75"/>
      <c r="Y22" s="75"/>
      <c r="Z22" s="41"/>
      <c r="AA22" s="32"/>
      <c r="AB22" s="32"/>
      <c r="AC22" s="32"/>
      <c r="AD22" s="32"/>
      <c r="AE22" s="32"/>
      <c r="AF22" s="32"/>
      <c r="AG22" s="32"/>
      <c r="AH22" s="32"/>
      <c r="AI22" s="32"/>
      <c r="AJ22" s="32"/>
      <c r="AK22" s="32"/>
      <c r="AL22" s="32"/>
      <c r="AM22" s="32"/>
      <c r="AN22" s="32"/>
      <c r="AO22" s="32"/>
      <c r="AP22" s="32"/>
    </row>
    <row r="23" spans="1:42" ht="85.5" customHeight="1" x14ac:dyDescent="0.3">
      <c r="A23" s="45" t="s">
        <v>42</v>
      </c>
      <c r="B23" s="65">
        <v>12</v>
      </c>
      <c r="C23" s="75"/>
      <c r="D23" s="75"/>
      <c r="E23" s="79"/>
      <c r="F23" s="75"/>
      <c r="G23" s="75"/>
      <c r="H23" s="75"/>
      <c r="I23" s="75"/>
      <c r="J23" s="75"/>
      <c r="K23" s="75"/>
      <c r="L23" s="75"/>
      <c r="M23" s="44"/>
      <c r="N23" s="75" t="s">
        <v>43</v>
      </c>
      <c r="O23" s="75"/>
      <c r="P23" s="75"/>
      <c r="Q23" s="75"/>
      <c r="R23" s="75"/>
      <c r="S23" s="75"/>
      <c r="T23" s="75"/>
      <c r="U23" s="75"/>
      <c r="V23" s="44"/>
      <c r="W23" s="75"/>
      <c r="X23" s="75"/>
      <c r="Y23" s="75"/>
      <c r="Z23" s="41"/>
      <c r="AA23" s="32"/>
      <c r="AB23" s="32"/>
      <c r="AC23" s="32"/>
      <c r="AD23" s="32"/>
      <c r="AE23" s="32"/>
      <c r="AF23" s="32"/>
      <c r="AG23" s="32"/>
      <c r="AH23" s="32"/>
      <c r="AI23" s="32"/>
      <c r="AJ23" s="32"/>
      <c r="AK23" s="32"/>
      <c r="AL23" s="32"/>
      <c r="AM23" s="32"/>
      <c r="AN23" s="32"/>
      <c r="AO23" s="32"/>
      <c r="AP23" s="32"/>
    </row>
    <row r="24" spans="1:42" ht="85.5" customHeight="1" x14ac:dyDescent="0.3">
      <c r="A24" s="45" t="s">
        <v>42</v>
      </c>
      <c r="B24" s="65">
        <v>13</v>
      </c>
      <c r="C24" s="75"/>
      <c r="D24" s="75"/>
      <c r="E24" s="79"/>
      <c r="F24" s="75"/>
      <c r="G24" s="75"/>
      <c r="H24" s="75"/>
      <c r="I24" s="75"/>
      <c r="J24" s="75"/>
      <c r="K24" s="75"/>
      <c r="L24" s="75"/>
      <c r="M24" s="44"/>
      <c r="N24" s="75" t="s">
        <v>43</v>
      </c>
      <c r="O24" s="75"/>
      <c r="P24" s="75"/>
      <c r="Q24" s="75"/>
      <c r="R24" s="75"/>
      <c r="S24" s="75"/>
      <c r="T24" s="75"/>
      <c r="U24" s="75"/>
      <c r="V24" s="44"/>
      <c r="W24" s="75"/>
      <c r="X24" s="75"/>
      <c r="Y24" s="75"/>
      <c r="Z24" s="41"/>
      <c r="AA24" s="32"/>
      <c r="AB24" s="32"/>
      <c r="AC24" s="32"/>
      <c r="AD24" s="32"/>
      <c r="AE24" s="32"/>
      <c r="AF24" s="32"/>
      <c r="AG24" s="32"/>
      <c r="AH24" s="32"/>
      <c r="AI24" s="32"/>
      <c r="AJ24" s="32"/>
      <c r="AK24" s="32"/>
      <c r="AL24" s="32"/>
      <c r="AM24" s="32"/>
      <c r="AN24" s="32"/>
      <c r="AO24" s="32"/>
      <c r="AP24" s="32"/>
    </row>
    <row r="25" spans="1:42" ht="85.5" customHeight="1" x14ac:dyDescent="0.3">
      <c r="A25" s="45" t="s">
        <v>42</v>
      </c>
      <c r="B25" s="65">
        <v>14</v>
      </c>
      <c r="C25" s="75"/>
      <c r="D25" s="75"/>
      <c r="E25" s="79"/>
      <c r="F25" s="75"/>
      <c r="G25" s="75"/>
      <c r="H25" s="75"/>
      <c r="I25" s="75"/>
      <c r="J25" s="75"/>
      <c r="K25" s="75"/>
      <c r="L25" s="75"/>
      <c r="M25" s="44"/>
      <c r="N25" s="75" t="s">
        <v>43</v>
      </c>
      <c r="O25" s="75"/>
      <c r="P25" s="75"/>
      <c r="Q25" s="75"/>
      <c r="R25" s="75"/>
      <c r="S25" s="75"/>
      <c r="T25" s="75"/>
      <c r="U25" s="75"/>
      <c r="V25" s="44"/>
      <c r="W25" s="75"/>
      <c r="X25" s="75"/>
      <c r="Y25" s="75"/>
      <c r="Z25" s="41"/>
      <c r="AA25" s="32"/>
      <c r="AB25" s="32"/>
      <c r="AC25" s="32"/>
      <c r="AD25" s="32"/>
      <c r="AE25" s="32"/>
      <c r="AF25" s="32"/>
      <c r="AG25" s="32"/>
      <c r="AH25" s="32"/>
      <c r="AI25" s="32"/>
      <c r="AJ25" s="32"/>
      <c r="AK25" s="32"/>
      <c r="AL25" s="32"/>
      <c r="AM25" s="32"/>
      <c r="AN25" s="32"/>
      <c r="AO25" s="32"/>
      <c r="AP25" s="32"/>
    </row>
    <row r="26" spans="1:42" ht="85.5" customHeight="1" x14ac:dyDescent="0.3">
      <c r="A26" s="45" t="s">
        <v>44</v>
      </c>
      <c r="B26" s="65">
        <v>15</v>
      </c>
      <c r="C26" s="75"/>
      <c r="D26" s="75"/>
      <c r="E26" s="79"/>
      <c r="F26" s="75"/>
      <c r="G26" s="75"/>
      <c r="H26" s="75"/>
      <c r="I26" s="75"/>
      <c r="J26" s="75"/>
      <c r="K26" s="75"/>
      <c r="L26" s="75"/>
      <c r="M26" s="44"/>
      <c r="N26" s="75" t="s">
        <v>43</v>
      </c>
      <c r="O26" s="75"/>
      <c r="P26" s="75"/>
      <c r="Q26" s="75"/>
      <c r="R26" s="75"/>
      <c r="S26" s="75"/>
      <c r="T26" s="75"/>
      <c r="U26" s="75"/>
      <c r="V26" s="44"/>
      <c r="W26" s="75"/>
      <c r="X26" s="75"/>
      <c r="Y26" s="75"/>
      <c r="Z26" s="41"/>
      <c r="AA26" s="32"/>
      <c r="AB26" s="32"/>
      <c r="AC26" s="32"/>
      <c r="AD26" s="32"/>
      <c r="AE26" s="32"/>
      <c r="AF26" s="32"/>
      <c r="AG26" s="32"/>
      <c r="AH26" s="32"/>
      <c r="AI26" s="32"/>
      <c r="AJ26" s="32"/>
      <c r="AK26" s="32"/>
      <c r="AL26" s="32"/>
      <c r="AM26" s="32"/>
      <c r="AN26" s="32"/>
      <c r="AO26" s="32"/>
      <c r="AP26" s="32"/>
    </row>
    <row r="27" spans="1:42" ht="85.5" customHeight="1" x14ac:dyDescent="0.3">
      <c r="A27" s="45" t="s">
        <v>42</v>
      </c>
      <c r="B27" s="65">
        <v>16</v>
      </c>
      <c r="C27" s="75"/>
      <c r="D27" s="75"/>
      <c r="E27" s="79"/>
      <c r="F27" s="75"/>
      <c r="G27" s="75"/>
      <c r="H27" s="75"/>
      <c r="I27" s="75"/>
      <c r="J27" s="75"/>
      <c r="K27" s="75"/>
      <c r="L27" s="75"/>
      <c r="M27" s="44"/>
      <c r="N27" s="75" t="s">
        <v>43</v>
      </c>
      <c r="O27" s="75"/>
      <c r="P27" s="75"/>
      <c r="Q27" s="75"/>
      <c r="R27" s="75"/>
      <c r="S27" s="75"/>
      <c r="T27" s="75"/>
      <c r="U27" s="75"/>
      <c r="V27" s="44"/>
      <c r="W27" s="75"/>
      <c r="X27" s="75"/>
      <c r="Y27" s="75"/>
      <c r="Z27" s="41"/>
      <c r="AA27" s="32"/>
      <c r="AB27" s="32"/>
      <c r="AC27" s="32"/>
      <c r="AD27" s="32"/>
      <c r="AE27" s="32"/>
      <c r="AF27" s="32"/>
      <c r="AG27" s="32"/>
      <c r="AH27" s="32"/>
      <c r="AI27" s="32"/>
      <c r="AJ27" s="32"/>
      <c r="AK27" s="32"/>
      <c r="AL27" s="32"/>
      <c r="AM27" s="32"/>
      <c r="AN27" s="32"/>
      <c r="AO27" s="32"/>
      <c r="AP27" s="32"/>
    </row>
    <row r="28" spans="1:42" ht="85.5" customHeight="1" x14ac:dyDescent="0.3">
      <c r="A28" s="45" t="s">
        <v>42</v>
      </c>
      <c r="B28" s="65">
        <v>17</v>
      </c>
      <c r="C28" s="75"/>
      <c r="D28" s="75"/>
      <c r="E28" s="79"/>
      <c r="F28" s="75"/>
      <c r="G28" s="75"/>
      <c r="H28" s="75"/>
      <c r="I28" s="75"/>
      <c r="J28" s="75"/>
      <c r="K28" s="75"/>
      <c r="L28" s="75"/>
      <c r="M28" s="44"/>
      <c r="N28" s="75" t="s">
        <v>43</v>
      </c>
      <c r="O28" s="75"/>
      <c r="P28" s="75"/>
      <c r="Q28" s="75"/>
      <c r="R28" s="75"/>
      <c r="S28" s="75"/>
      <c r="T28" s="75"/>
      <c r="U28" s="75"/>
      <c r="V28" s="44"/>
      <c r="W28" s="75"/>
      <c r="X28" s="75"/>
      <c r="Y28" s="75"/>
      <c r="Z28" s="41"/>
      <c r="AA28" s="32"/>
      <c r="AB28" s="32"/>
      <c r="AC28" s="32"/>
      <c r="AD28" s="32"/>
      <c r="AE28" s="32"/>
      <c r="AF28" s="32"/>
      <c r="AG28" s="32"/>
      <c r="AH28" s="32"/>
      <c r="AI28" s="32"/>
      <c r="AJ28" s="32"/>
      <c r="AK28" s="32"/>
      <c r="AL28" s="32"/>
      <c r="AM28" s="32"/>
      <c r="AN28" s="32"/>
      <c r="AO28" s="32"/>
      <c r="AP28" s="32"/>
    </row>
    <row r="29" spans="1:42" ht="85.5" customHeight="1" x14ac:dyDescent="0.3">
      <c r="A29" s="45" t="s">
        <v>42</v>
      </c>
      <c r="B29" s="65">
        <v>18</v>
      </c>
      <c r="C29" s="75"/>
      <c r="D29" s="75"/>
      <c r="E29" s="79"/>
      <c r="F29" s="75"/>
      <c r="G29" s="75"/>
      <c r="H29" s="75"/>
      <c r="I29" s="75"/>
      <c r="J29" s="75"/>
      <c r="K29" s="75"/>
      <c r="L29" s="75"/>
      <c r="M29" s="44"/>
      <c r="N29" s="75" t="s">
        <v>43</v>
      </c>
      <c r="O29" s="75"/>
      <c r="P29" s="75"/>
      <c r="Q29" s="75"/>
      <c r="R29" s="75"/>
      <c r="S29" s="75"/>
      <c r="T29" s="75"/>
      <c r="U29" s="75"/>
      <c r="V29" s="44"/>
      <c r="W29" s="75"/>
      <c r="X29" s="75"/>
      <c r="Y29" s="75"/>
      <c r="Z29" s="41"/>
      <c r="AA29" s="32"/>
      <c r="AB29" s="32"/>
      <c r="AC29" s="32"/>
      <c r="AD29" s="32"/>
      <c r="AE29" s="32"/>
      <c r="AF29" s="32"/>
      <c r="AG29" s="32"/>
      <c r="AH29" s="32"/>
      <c r="AI29" s="32"/>
      <c r="AJ29" s="32"/>
      <c r="AK29" s="32"/>
      <c r="AL29" s="32"/>
      <c r="AM29" s="32"/>
      <c r="AN29" s="32"/>
      <c r="AO29" s="32"/>
      <c r="AP29" s="32"/>
    </row>
    <row r="30" spans="1:42" ht="14.25" customHeight="1" x14ac:dyDescent="0.3">
      <c r="A30" s="32"/>
      <c r="B30" s="33"/>
      <c r="C30" s="34"/>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row>
    <row r="31" spans="1:42" ht="14.25" customHeight="1" x14ac:dyDescent="0.3">
      <c r="A31" s="32"/>
      <c r="B31" s="33"/>
      <c r="C31" s="34"/>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row>
    <row r="32" spans="1:42" ht="14.25" customHeight="1" x14ac:dyDescent="0.3">
      <c r="A32" s="32"/>
      <c r="B32" s="33"/>
      <c r="C32" s="34"/>
      <c r="D32" s="33"/>
      <c r="E32" s="33"/>
      <c r="F32" s="33"/>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row>
    <row r="33" spans="1:42" ht="14.25" customHeight="1" x14ac:dyDescent="0.3">
      <c r="A33" s="32"/>
      <c r="B33" s="33"/>
      <c r="C33" s="34"/>
      <c r="D33" s="33"/>
      <c r="E33" s="33"/>
      <c r="F33" s="33"/>
      <c r="G33" s="33"/>
      <c r="H33" s="33"/>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row>
    <row r="34" spans="1:42" ht="14.25" customHeight="1" x14ac:dyDescent="0.3">
      <c r="A34" s="32"/>
      <c r="B34" s="33"/>
      <c r="C34" s="34"/>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row>
    <row r="35" spans="1:42" ht="14.25" customHeight="1" x14ac:dyDescent="0.3">
      <c r="A35" s="32"/>
      <c r="B35" s="33"/>
      <c r="C35" s="34"/>
      <c r="D35" s="33"/>
      <c r="E35" s="33"/>
      <c r="F35" s="33"/>
      <c r="G35" s="33"/>
      <c r="H35" s="33"/>
      <c r="I35" s="33"/>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row>
    <row r="36" spans="1:42" ht="14.25" customHeight="1" x14ac:dyDescent="0.3">
      <c r="A36" s="32"/>
      <c r="B36" s="33"/>
      <c r="C36" s="34"/>
      <c r="D36" s="33"/>
      <c r="E36" s="33"/>
      <c r="F36" s="33"/>
      <c r="G36" s="33"/>
      <c r="H36" s="33"/>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row>
    <row r="37" spans="1:42" ht="14.25" customHeight="1" x14ac:dyDescent="0.3">
      <c r="A37" s="32"/>
      <c r="B37" s="33"/>
      <c r="C37" s="34"/>
      <c r="D37" s="3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row>
    <row r="38" spans="1:42" ht="14.25" customHeight="1" x14ac:dyDescent="0.3">
      <c r="A38" s="32"/>
      <c r="B38" s="33"/>
      <c r="C38" s="34"/>
      <c r="D38" s="33"/>
      <c r="E38" s="33"/>
      <c r="F38" s="33"/>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row>
    <row r="39" spans="1:42" ht="14.25" customHeight="1" x14ac:dyDescent="0.3">
      <c r="A39" s="32"/>
      <c r="B39" s="33"/>
      <c r="C39" s="34"/>
      <c r="D39" s="33"/>
      <c r="E39" s="33"/>
      <c r="F39" s="33"/>
      <c r="G39" s="33"/>
      <c r="H39" s="33"/>
      <c r="I39" s="33"/>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row>
    <row r="40" spans="1:42" ht="14.25" customHeight="1" x14ac:dyDescent="0.3">
      <c r="A40" s="32"/>
      <c r="B40" s="33"/>
      <c r="C40" s="34"/>
      <c r="D40" s="33"/>
      <c r="E40" s="33"/>
      <c r="F40" s="33"/>
      <c r="G40" s="33"/>
      <c r="H40" s="33"/>
      <c r="I40" s="33"/>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row>
    <row r="41" spans="1:42" ht="14.25" customHeight="1" x14ac:dyDescent="0.3">
      <c r="A41" s="32"/>
      <c r="B41" s="33"/>
      <c r="C41" s="34"/>
      <c r="D41" s="33"/>
      <c r="E41" s="33"/>
      <c r="F41" s="33"/>
      <c r="G41" s="33"/>
      <c r="H41" s="33"/>
      <c r="I41" s="33"/>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row>
    <row r="42" spans="1:42" ht="14.25" customHeight="1" x14ac:dyDescent="0.3">
      <c r="A42" s="32"/>
      <c r="B42" s="33"/>
      <c r="C42" s="34"/>
      <c r="D42" s="33"/>
      <c r="E42" s="33"/>
      <c r="F42" s="33"/>
      <c r="G42" s="33"/>
      <c r="H42" s="33"/>
      <c r="I42" s="33"/>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row>
    <row r="43" spans="1:42" ht="14.25" customHeight="1" x14ac:dyDescent="0.3">
      <c r="A43" s="32"/>
      <c r="B43" s="33"/>
      <c r="C43" s="34"/>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row>
    <row r="44" spans="1:42" ht="14.25" customHeight="1" x14ac:dyDescent="0.3">
      <c r="A44" s="32"/>
      <c r="B44" s="33"/>
      <c r="C44" s="34"/>
      <c r="D44" s="33"/>
      <c r="E44" s="33"/>
      <c r="F44" s="33"/>
      <c r="G44" s="33"/>
      <c r="H44" s="33"/>
      <c r="I44" s="33"/>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row>
    <row r="45" spans="1:42" ht="14.25" customHeight="1" x14ac:dyDescent="0.3">
      <c r="A45" s="32"/>
      <c r="B45" s="33"/>
      <c r="C45" s="34"/>
      <c r="D45" s="33"/>
      <c r="E45" s="33"/>
      <c r="F45" s="33"/>
      <c r="G45" s="33"/>
      <c r="H45" s="33"/>
      <c r="I45" s="33"/>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row>
    <row r="46" spans="1:42" ht="14.25" customHeight="1" x14ac:dyDescent="0.3">
      <c r="A46" s="32"/>
      <c r="B46" s="33"/>
      <c r="C46" s="34"/>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row>
    <row r="47" spans="1:42" ht="14.25" customHeight="1" x14ac:dyDescent="0.3">
      <c r="A47" s="32"/>
      <c r="B47" s="33"/>
      <c r="C47" s="34"/>
      <c r="D47" s="33"/>
      <c r="E47" s="33"/>
      <c r="F47" s="33"/>
      <c r="G47" s="33"/>
      <c r="H47" s="33"/>
      <c r="I47" s="33"/>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row>
    <row r="48" spans="1:42" ht="14.25" customHeight="1" x14ac:dyDescent="0.3">
      <c r="A48" s="32"/>
      <c r="B48" s="33"/>
      <c r="C48" s="34"/>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row>
    <row r="49" spans="1:42" ht="14.25" customHeight="1" x14ac:dyDescent="0.3">
      <c r="A49" s="32"/>
      <c r="B49" s="33"/>
      <c r="C49" s="34"/>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row>
    <row r="50" spans="1:42" ht="14.25" customHeight="1" x14ac:dyDescent="0.3">
      <c r="A50" s="32"/>
      <c r="B50" s="33"/>
      <c r="C50" s="34"/>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row>
    <row r="51" spans="1:42" ht="14.25" customHeight="1" x14ac:dyDescent="0.3">
      <c r="A51" s="32"/>
      <c r="B51" s="33"/>
      <c r="C51" s="34"/>
      <c r="D51" s="33"/>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row>
    <row r="52" spans="1:42" ht="14.25" customHeight="1" x14ac:dyDescent="0.3">
      <c r="A52" s="32"/>
      <c r="B52" s="33"/>
      <c r="C52" s="34"/>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row>
    <row r="53" spans="1:42" ht="14.25" customHeight="1" x14ac:dyDescent="0.3">
      <c r="A53" s="32"/>
      <c r="B53" s="33"/>
      <c r="C53" s="34"/>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c r="AO53" s="33"/>
      <c r="AP53" s="33"/>
    </row>
    <row r="54" spans="1:42" ht="14.25" customHeight="1" x14ac:dyDescent="0.3">
      <c r="A54" s="32"/>
      <c r="B54" s="33"/>
      <c r="C54" s="34"/>
      <c r="D54" s="33"/>
      <c r="E54" s="33"/>
      <c r="F54" s="33"/>
      <c r="G54" s="33"/>
      <c r="H54" s="33"/>
      <c r="I54" s="33"/>
      <c r="J54" s="33"/>
      <c r="K54" s="33"/>
      <c r="L54" s="33"/>
      <c r="M54" s="33"/>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c r="AO54" s="33"/>
      <c r="AP54" s="33"/>
    </row>
    <row r="55" spans="1:42" ht="14.25" customHeight="1" x14ac:dyDescent="0.3">
      <c r="A55" s="32"/>
      <c r="B55" s="33"/>
      <c r="C55" s="34"/>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row>
    <row r="56" spans="1:42" ht="14.25" customHeight="1" x14ac:dyDescent="0.3">
      <c r="A56" s="32"/>
      <c r="B56" s="33"/>
      <c r="C56" s="34"/>
      <c r="D56" s="33"/>
      <c r="E56" s="33"/>
      <c r="F56" s="33"/>
      <c r="G56" s="33"/>
      <c r="H56" s="33"/>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row>
    <row r="57" spans="1:42" ht="14.25" customHeight="1" x14ac:dyDescent="0.3">
      <c r="A57" s="32"/>
      <c r="B57" s="33"/>
      <c r="C57" s="34"/>
      <c r="D57" s="33"/>
      <c r="E57" s="33"/>
      <c r="F57" s="33"/>
      <c r="G57" s="33"/>
      <c r="H57" s="33"/>
      <c r="I57" s="33"/>
      <c r="J57" s="33"/>
      <c r="K57" s="33"/>
      <c r="L57" s="33"/>
      <c r="M57" s="33"/>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c r="AO57" s="33"/>
      <c r="AP57" s="33"/>
    </row>
    <row r="58" spans="1:42" ht="14.25" customHeight="1" x14ac:dyDescent="0.3">
      <c r="A58" s="32"/>
      <c r="B58" s="33"/>
      <c r="C58" s="34"/>
      <c r="D58" s="33"/>
      <c r="E58" s="33"/>
      <c r="F58" s="33"/>
      <c r="G58" s="33"/>
      <c r="H58" s="33"/>
      <c r="I58" s="33"/>
      <c r="J58" s="33"/>
      <c r="K58" s="33"/>
      <c r="L58" s="33"/>
      <c r="M58" s="33"/>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c r="AO58" s="33"/>
      <c r="AP58" s="33"/>
    </row>
    <row r="59" spans="1:42" ht="14.25" customHeight="1" x14ac:dyDescent="0.3">
      <c r="A59" s="32"/>
      <c r="B59" s="33"/>
      <c r="C59" s="34"/>
      <c r="D59" s="33"/>
      <c r="E59" s="33"/>
      <c r="F59" s="33"/>
      <c r="G59" s="33"/>
      <c r="H59" s="33"/>
      <c r="I59" s="33"/>
      <c r="J59" s="33"/>
      <c r="K59" s="33"/>
      <c r="L59" s="33"/>
      <c r="M59" s="33"/>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c r="AO59" s="33"/>
      <c r="AP59" s="33"/>
    </row>
    <row r="60" spans="1:42" ht="14.25" customHeight="1" x14ac:dyDescent="0.3">
      <c r="A60" s="32"/>
      <c r="B60" s="33"/>
      <c r="C60" s="34"/>
      <c r="D60" s="33"/>
      <c r="E60" s="33"/>
      <c r="F60" s="33"/>
      <c r="G60" s="33"/>
      <c r="H60" s="33"/>
      <c r="I60" s="33"/>
      <c r="J60" s="33"/>
      <c r="K60" s="33"/>
      <c r="L60" s="33"/>
      <c r="M60" s="33"/>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c r="AO60" s="33"/>
      <c r="AP60" s="33"/>
    </row>
    <row r="61" spans="1:42" ht="14.25" customHeight="1" x14ac:dyDescent="0.3">
      <c r="A61" s="32"/>
      <c r="B61" s="33"/>
      <c r="C61" s="34"/>
      <c r="D61" s="33"/>
      <c r="E61" s="33"/>
      <c r="F61" s="33"/>
      <c r="G61" s="33"/>
      <c r="H61" s="33"/>
      <c r="I61" s="33"/>
      <c r="J61" s="33"/>
      <c r="K61" s="33"/>
      <c r="L61" s="33"/>
      <c r="M61" s="33"/>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c r="AO61" s="33"/>
      <c r="AP61" s="33"/>
    </row>
    <row r="62" spans="1:42" ht="14.25" customHeight="1" x14ac:dyDescent="0.3">
      <c r="A62" s="32"/>
      <c r="B62" s="33"/>
      <c r="C62" s="34"/>
      <c r="D62" s="33"/>
      <c r="E62" s="33"/>
      <c r="F62" s="33"/>
      <c r="G62" s="33"/>
      <c r="H62" s="33"/>
      <c r="I62" s="33"/>
      <c r="J62" s="33"/>
      <c r="K62" s="33"/>
      <c r="L62" s="33"/>
      <c r="M62" s="33"/>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c r="AO62" s="33"/>
      <c r="AP62" s="33"/>
    </row>
    <row r="63" spans="1:42" ht="14.25" customHeight="1" x14ac:dyDescent="0.3">
      <c r="A63" s="32"/>
      <c r="B63" s="33"/>
      <c r="C63" s="34"/>
      <c r="D63" s="33"/>
      <c r="E63" s="33"/>
      <c r="F63" s="33"/>
      <c r="G63" s="33"/>
      <c r="H63" s="33"/>
      <c r="I63" s="33"/>
      <c r="J63" s="33"/>
      <c r="K63" s="33"/>
      <c r="L63" s="33"/>
      <c r="M63" s="33"/>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c r="AO63" s="33"/>
      <c r="AP63" s="33"/>
    </row>
    <row r="64" spans="1:42" ht="14.25" customHeight="1" x14ac:dyDescent="0.3">
      <c r="A64" s="32"/>
      <c r="B64" s="33"/>
      <c r="C64" s="34"/>
      <c r="D64" s="33"/>
      <c r="E64" s="33"/>
      <c r="F64" s="33"/>
      <c r="G64" s="33"/>
      <c r="H64" s="33"/>
      <c r="I64" s="33"/>
      <c r="J64" s="33"/>
      <c r="K64" s="33"/>
      <c r="L64" s="33"/>
      <c r="M64" s="33"/>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c r="AO64" s="33"/>
      <c r="AP64" s="33"/>
    </row>
    <row r="65" spans="1:42" ht="14.25" customHeight="1" x14ac:dyDescent="0.3">
      <c r="A65" s="32"/>
      <c r="B65" s="33"/>
      <c r="C65" s="34"/>
      <c r="D65" s="33"/>
      <c r="E65" s="33"/>
      <c r="F65" s="33"/>
      <c r="G65" s="33"/>
      <c r="H65" s="33"/>
      <c r="I65" s="33"/>
      <c r="J65" s="33"/>
      <c r="K65" s="33"/>
      <c r="L65" s="33"/>
      <c r="M65" s="33"/>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c r="AO65" s="33"/>
      <c r="AP65" s="33"/>
    </row>
    <row r="66" spans="1:42" ht="14.25" customHeight="1" x14ac:dyDescent="0.3">
      <c r="A66" s="32"/>
      <c r="B66" s="33"/>
      <c r="C66" s="34"/>
      <c r="D66" s="33"/>
      <c r="E66" s="33"/>
      <c r="F66" s="33"/>
      <c r="G66" s="33"/>
      <c r="H66" s="33"/>
      <c r="I66" s="33"/>
      <c r="J66" s="33"/>
      <c r="K66" s="33"/>
      <c r="L66" s="33"/>
      <c r="M66" s="33"/>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c r="AO66" s="33"/>
      <c r="AP66" s="33"/>
    </row>
    <row r="67" spans="1:42" ht="14.25" customHeight="1" x14ac:dyDescent="0.3">
      <c r="A67" s="32"/>
      <c r="B67" s="33"/>
      <c r="C67" s="34"/>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row>
    <row r="68" spans="1:42" ht="14.25" customHeight="1" x14ac:dyDescent="0.3">
      <c r="A68" s="32"/>
      <c r="B68" s="33"/>
      <c r="C68" s="34"/>
      <c r="D68" s="33"/>
      <c r="E68" s="33"/>
      <c r="F68" s="33"/>
      <c r="G68" s="33"/>
      <c r="H68" s="33"/>
      <c r="I68" s="33"/>
      <c r="J68" s="33"/>
      <c r="K68" s="33"/>
      <c r="L68" s="33"/>
      <c r="M68" s="33"/>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c r="AO68" s="33"/>
      <c r="AP68" s="33"/>
    </row>
    <row r="69" spans="1:42" ht="14.25" customHeight="1" x14ac:dyDescent="0.3">
      <c r="A69" s="32"/>
      <c r="B69" s="33"/>
      <c r="C69" s="34"/>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row>
    <row r="70" spans="1:42" ht="14.25" customHeight="1" x14ac:dyDescent="0.3">
      <c r="A70" s="32"/>
      <c r="B70" s="33"/>
      <c r="C70" s="34"/>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c r="AO70" s="33"/>
      <c r="AP70" s="33"/>
    </row>
    <row r="71" spans="1:42" ht="14.25" customHeight="1" x14ac:dyDescent="0.3">
      <c r="A71" s="32"/>
      <c r="B71" s="33"/>
      <c r="C71" s="34"/>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row>
    <row r="72" spans="1:42" ht="14.25" customHeight="1" x14ac:dyDescent="0.3">
      <c r="A72" s="32"/>
      <c r="B72" s="33"/>
      <c r="C72" s="34"/>
      <c r="D72" s="33"/>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c r="AO72" s="33"/>
      <c r="AP72" s="33"/>
    </row>
    <row r="73" spans="1:42" ht="14.25" customHeight="1" x14ac:dyDescent="0.3">
      <c r="A73" s="32"/>
      <c r="B73" s="33"/>
      <c r="C73" s="34"/>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row>
    <row r="74" spans="1:42" ht="14.25" customHeight="1" x14ac:dyDescent="0.3">
      <c r="A74" s="32"/>
      <c r="B74" s="33"/>
      <c r="C74" s="34"/>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c r="AO74" s="33"/>
      <c r="AP74" s="33"/>
    </row>
    <row r="75" spans="1:42" ht="14.25" customHeight="1" x14ac:dyDescent="0.3">
      <c r="A75" s="32"/>
      <c r="B75" s="33"/>
      <c r="C75" s="34"/>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c r="AO75" s="33"/>
      <c r="AP75" s="33"/>
    </row>
    <row r="76" spans="1:42" ht="14.25" customHeight="1" x14ac:dyDescent="0.3">
      <c r="A76" s="32"/>
      <c r="B76" s="33"/>
      <c r="C76" s="34"/>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c r="AO76" s="33"/>
      <c r="AP76" s="33"/>
    </row>
    <row r="77" spans="1:42" ht="14.25" customHeight="1" x14ac:dyDescent="0.3">
      <c r="A77" s="32"/>
      <c r="B77" s="33"/>
      <c r="C77" s="34"/>
      <c r="D77" s="33"/>
      <c r="E77" s="33"/>
      <c r="F77" s="33"/>
      <c r="G77" s="33"/>
      <c r="H77" s="33"/>
      <c r="I77" s="33"/>
      <c r="J77" s="33"/>
      <c r="K77" s="33"/>
      <c r="L77" s="33"/>
      <c r="M77" s="33"/>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c r="AO77" s="33"/>
      <c r="AP77" s="33"/>
    </row>
    <row r="78" spans="1:42" ht="14.25" customHeight="1" x14ac:dyDescent="0.3">
      <c r="A78" s="32"/>
      <c r="B78" s="33"/>
      <c r="C78" s="34"/>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c r="AO78" s="33"/>
      <c r="AP78" s="33"/>
    </row>
    <row r="79" spans="1:42" ht="14.25" customHeight="1" x14ac:dyDescent="0.3">
      <c r="A79" s="32"/>
      <c r="B79" s="33"/>
      <c r="C79" s="34"/>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row>
    <row r="80" spans="1:42" ht="14.25" customHeight="1" x14ac:dyDescent="0.3">
      <c r="A80" s="32"/>
      <c r="B80" s="33"/>
      <c r="C80" s="34"/>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row>
    <row r="81" spans="1:42" ht="14.25" customHeight="1" x14ac:dyDescent="0.3">
      <c r="A81" s="32"/>
      <c r="B81" s="33"/>
      <c r="C81" s="34"/>
      <c r="D81" s="33"/>
      <c r="E81" s="33"/>
      <c r="F81" s="33"/>
      <c r="G81" s="33"/>
      <c r="H81" s="33"/>
      <c r="I81" s="33"/>
      <c r="J81" s="33"/>
      <c r="K81" s="33"/>
      <c r="L81" s="33"/>
      <c r="M81" s="33"/>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c r="AO81" s="33"/>
      <c r="AP81" s="33"/>
    </row>
    <row r="82" spans="1:42" ht="14.25" customHeight="1" x14ac:dyDescent="0.3">
      <c r="A82" s="32"/>
      <c r="B82" s="33"/>
      <c r="C82" s="34"/>
      <c r="D82" s="33"/>
      <c r="E82" s="33"/>
      <c r="F82" s="33"/>
      <c r="G82" s="33"/>
      <c r="H82" s="33"/>
      <c r="I82" s="33"/>
      <c r="J82" s="33"/>
      <c r="K82" s="33"/>
      <c r="L82" s="33"/>
      <c r="M82" s="33"/>
      <c r="N82" s="33"/>
      <c r="O82" s="33"/>
      <c r="P82" s="33"/>
      <c r="Q82" s="33"/>
      <c r="R82" s="33"/>
      <c r="S82" s="33"/>
      <c r="T82" s="33"/>
      <c r="U82" s="33"/>
      <c r="V82" s="33"/>
      <c r="W82" s="33"/>
      <c r="X82" s="33"/>
      <c r="Y82" s="33"/>
      <c r="Z82" s="33"/>
      <c r="AA82" s="33"/>
      <c r="AB82" s="33"/>
      <c r="AC82" s="33"/>
      <c r="AD82" s="33"/>
      <c r="AE82" s="33"/>
      <c r="AF82" s="33"/>
      <c r="AG82" s="33"/>
      <c r="AH82" s="33"/>
      <c r="AI82" s="33"/>
      <c r="AJ82" s="33"/>
      <c r="AK82" s="32"/>
      <c r="AL82" s="32"/>
      <c r="AM82" s="32"/>
      <c r="AN82" s="32"/>
      <c r="AO82" s="32"/>
      <c r="AP82" s="32"/>
    </row>
    <row r="83" spans="1:42" ht="14.25" customHeight="1" x14ac:dyDescent="0.3">
      <c r="A83" s="32"/>
      <c r="B83" s="33"/>
      <c r="C83" s="34"/>
      <c r="D83" s="33"/>
      <c r="E83" s="33"/>
      <c r="F83" s="33"/>
      <c r="G83" s="33"/>
      <c r="H83" s="33"/>
      <c r="I83" s="33"/>
      <c r="J83" s="33"/>
      <c r="K83" s="33"/>
      <c r="L83" s="33"/>
      <c r="M83" s="33"/>
      <c r="N83" s="33"/>
      <c r="O83" s="33"/>
      <c r="P83" s="33"/>
      <c r="Q83" s="33"/>
      <c r="R83" s="33"/>
      <c r="S83" s="33"/>
      <c r="T83" s="33"/>
      <c r="U83" s="33"/>
      <c r="V83" s="33"/>
      <c r="W83" s="33"/>
      <c r="X83" s="33"/>
      <c r="Y83" s="33"/>
      <c r="Z83" s="33"/>
      <c r="AA83" s="33"/>
      <c r="AB83" s="33"/>
      <c r="AC83" s="33"/>
      <c r="AD83" s="33"/>
      <c r="AE83" s="33"/>
      <c r="AF83" s="33"/>
      <c r="AG83" s="33"/>
      <c r="AH83" s="33"/>
      <c r="AI83" s="33"/>
      <c r="AJ83" s="33"/>
      <c r="AK83" s="32"/>
      <c r="AL83" s="32"/>
      <c r="AM83" s="32"/>
      <c r="AN83" s="32"/>
      <c r="AO83" s="32"/>
      <c r="AP83" s="32"/>
    </row>
    <row r="84" spans="1:42" ht="14.25" customHeight="1" x14ac:dyDescent="0.3">
      <c r="A84" s="32"/>
      <c r="B84" s="33"/>
      <c r="C84" s="34"/>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2"/>
      <c r="AL84" s="32"/>
      <c r="AM84" s="32"/>
      <c r="AN84" s="32"/>
      <c r="AO84" s="32"/>
      <c r="AP84" s="32"/>
    </row>
    <row r="85" spans="1:42" ht="14.25" customHeight="1" x14ac:dyDescent="0.3">
      <c r="A85" s="32"/>
      <c r="B85" s="33"/>
      <c r="C85" s="34"/>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2"/>
      <c r="AL85" s="32"/>
      <c r="AM85" s="32"/>
      <c r="AN85" s="32"/>
      <c r="AO85" s="32"/>
      <c r="AP85" s="32"/>
    </row>
    <row r="86" spans="1:42" ht="14.25" customHeight="1" x14ac:dyDescent="0.3">
      <c r="A86" s="32"/>
      <c r="B86" s="33"/>
      <c r="C86" s="34"/>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2"/>
      <c r="AL86" s="32"/>
      <c r="AM86" s="32"/>
      <c r="AN86" s="32"/>
      <c r="AO86" s="32"/>
      <c r="AP86" s="32"/>
    </row>
    <row r="87" spans="1:42" ht="14.25" customHeight="1" x14ac:dyDescent="0.3">
      <c r="A87" s="32"/>
      <c r="B87" s="33"/>
      <c r="C87" s="34"/>
      <c r="D87" s="33"/>
      <c r="E87" s="33"/>
      <c r="F87" s="33"/>
      <c r="G87" s="33"/>
      <c r="H87" s="33"/>
      <c r="I87" s="33"/>
      <c r="J87" s="33"/>
      <c r="K87" s="33"/>
      <c r="L87" s="33"/>
      <c r="M87" s="33"/>
      <c r="N87" s="33"/>
      <c r="O87" s="33"/>
      <c r="P87" s="33"/>
      <c r="Q87" s="33"/>
      <c r="R87" s="33"/>
      <c r="S87" s="33"/>
      <c r="T87" s="33"/>
      <c r="U87" s="33"/>
      <c r="V87" s="33"/>
      <c r="W87" s="33"/>
      <c r="X87" s="33"/>
      <c r="Y87" s="33"/>
      <c r="Z87" s="33"/>
      <c r="AA87" s="33"/>
      <c r="AB87" s="33"/>
      <c r="AC87" s="33"/>
      <c r="AD87" s="33"/>
      <c r="AE87" s="33"/>
      <c r="AF87" s="33"/>
      <c r="AG87" s="33"/>
      <c r="AH87" s="33"/>
      <c r="AI87" s="33"/>
      <c r="AJ87" s="33"/>
      <c r="AK87" s="32"/>
      <c r="AL87" s="32"/>
      <c r="AM87" s="32"/>
      <c r="AN87" s="32"/>
      <c r="AO87" s="32"/>
      <c r="AP87" s="32"/>
    </row>
    <row r="88" spans="1:42" ht="14.25" customHeight="1" x14ac:dyDescent="0.3">
      <c r="A88" s="32"/>
      <c r="B88" s="33"/>
      <c r="C88" s="34"/>
      <c r="D88" s="33"/>
      <c r="E88" s="33"/>
      <c r="F88" s="33"/>
      <c r="G88" s="33"/>
      <c r="H88" s="33"/>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2"/>
      <c r="AL88" s="32"/>
      <c r="AM88" s="32"/>
      <c r="AN88" s="32"/>
      <c r="AO88" s="32"/>
      <c r="AP88" s="32"/>
    </row>
    <row r="89" spans="1:42" ht="14.25" customHeight="1" x14ac:dyDescent="0.3">
      <c r="A89" s="32"/>
      <c r="B89" s="33"/>
      <c r="C89" s="34"/>
      <c r="D89" s="33"/>
      <c r="E89" s="33"/>
      <c r="F89" s="33"/>
      <c r="G89" s="33"/>
      <c r="H89" s="33"/>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2"/>
      <c r="AL89" s="32"/>
      <c r="AM89" s="32"/>
      <c r="AN89" s="32"/>
      <c r="AO89" s="32"/>
      <c r="AP89" s="32"/>
    </row>
    <row r="90" spans="1:42" ht="14.25" customHeight="1" x14ac:dyDescent="0.3">
      <c r="A90" s="32"/>
      <c r="B90" s="33"/>
      <c r="C90" s="34"/>
      <c r="D90" s="33"/>
      <c r="E90" s="33"/>
      <c r="F90" s="33"/>
      <c r="G90" s="33"/>
      <c r="H90" s="33"/>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2"/>
      <c r="AL90" s="32"/>
      <c r="AM90" s="32"/>
      <c r="AN90" s="32"/>
      <c r="AO90" s="32"/>
      <c r="AP90" s="32"/>
    </row>
    <row r="91" spans="1:42" ht="14.25" customHeight="1" x14ac:dyDescent="0.3">
      <c r="A91" s="32"/>
      <c r="B91" s="33"/>
      <c r="C91" s="34"/>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2"/>
      <c r="AL91" s="32"/>
      <c r="AM91" s="32"/>
      <c r="AN91" s="32"/>
      <c r="AO91" s="32"/>
      <c r="AP91" s="32"/>
    </row>
    <row r="92" spans="1:42" ht="14.25" customHeight="1" x14ac:dyDescent="0.3">
      <c r="A92" s="32"/>
      <c r="B92" s="33"/>
      <c r="C92" s="34"/>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2"/>
      <c r="AL92" s="32"/>
      <c r="AM92" s="32"/>
      <c r="AN92" s="32"/>
      <c r="AO92" s="32"/>
      <c r="AP92" s="32"/>
    </row>
    <row r="93" spans="1:42" ht="14.25" customHeight="1" x14ac:dyDescent="0.3">
      <c r="A93" s="32"/>
      <c r="B93" s="33"/>
      <c r="C93" s="34"/>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3"/>
      <c r="AH93" s="33"/>
      <c r="AI93" s="33"/>
      <c r="AJ93" s="33"/>
      <c r="AK93" s="32"/>
      <c r="AL93" s="32"/>
      <c r="AM93" s="32"/>
      <c r="AN93" s="32"/>
      <c r="AO93" s="32"/>
      <c r="AP93" s="32"/>
    </row>
    <row r="94" spans="1:42" ht="14.25" customHeight="1" x14ac:dyDescent="0.3">
      <c r="A94" s="32"/>
      <c r="B94" s="33"/>
      <c r="C94" s="34"/>
      <c r="D94" s="33"/>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3"/>
      <c r="AH94" s="33"/>
      <c r="AI94" s="33"/>
      <c r="AJ94" s="33"/>
      <c r="AK94" s="32"/>
      <c r="AL94" s="32"/>
      <c r="AM94" s="32"/>
      <c r="AN94" s="32"/>
      <c r="AO94" s="32"/>
      <c r="AP94" s="32"/>
    </row>
    <row r="95" spans="1:42" ht="14.25" customHeight="1" x14ac:dyDescent="0.3">
      <c r="A95" s="32"/>
      <c r="B95" s="33"/>
      <c r="C95" s="34"/>
      <c r="D95" s="33"/>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3"/>
      <c r="AH95" s="33"/>
      <c r="AI95" s="33"/>
      <c r="AJ95" s="33"/>
      <c r="AK95" s="32"/>
      <c r="AL95" s="32"/>
      <c r="AM95" s="32"/>
      <c r="AN95" s="32"/>
      <c r="AO95" s="32"/>
      <c r="AP95" s="32"/>
    </row>
    <row r="96" spans="1:42" ht="14.25" customHeight="1" x14ac:dyDescent="0.3">
      <c r="A96" s="32"/>
      <c r="B96" s="33"/>
      <c r="C96" s="34"/>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2"/>
      <c r="AL96" s="32"/>
      <c r="AM96" s="32"/>
      <c r="AN96" s="32"/>
      <c r="AO96" s="32"/>
      <c r="AP96" s="32"/>
    </row>
    <row r="97" spans="1:42" ht="14.25" customHeight="1" x14ac:dyDescent="0.3">
      <c r="A97" s="32"/>
      <c r="B97" s="33"/>
      <c r="C97" s="34"/>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3"/>
      <c r="AH97" s="33"/>
      <c r="AI97" s="33"/>
      <c r="AJ97" s="33"/>
      <c r="AK97" s="32"/>
      <c r="AL97" s="32"/>
      <c r="AM97" s="32"/>
      <c r="AN97" s="32"/>
      <c r="AO97" s="32"/>
      <c r="AP97" s="32"/>
    </row>
    <row r="98" spans="1:42" ht="14.25" customHeight="1" x14ac:dyDescent="0.3">
      <c r="A98" s="32"/>
      <c r="B98" s="33"/>
      <c r="C98" s="34"/>
      <c r="D98" s="33"/>
      <c r="E98" s="33"/>
      <c r="F98" s="33"/>
      <c r="G98" s="33"/>
      <c r="H98" s="33"/>
      <c r="I98" s="33"/>
      <c r="J98" s="33"/>
      <c r="K98" s="33"/>
      <c r="L98" s="33"/>
      <c r="M98" s="33"/>
      <c r="N98" s="33"/>
      <c r="O98" s="33"/>
      <c r="P98" s="33"/>
      <c r="Q98" s="33"/>
      <c r="R98" s="33"/>
      <c r="S98" s="33"/>
      <c r="T98" s="33"/>
      <c r="U98" s="33"/>
      <c r="V98" s="33"/>
      <c r="W98" s="33"/>
      <c r="X98" s="33"/>
      <c r="Y98" s="33"/>
      <c r="Z98" s="33"/>
      <c r="AA98" s="33"/>
      <c r="AB98" s="33"/>
      <c r="AC98" s="33"/>
      <c r="AD98" s="33"/>
      <c r="AE98" s="33"/>
      <c r="AF98" s="33"/>
      <c r="AG98" s="33"/>
      <c r="AH98" s="33"/>
      <c r="AI98" s="33"/>
      <c r="AJ98" s="33"/>
      <c r="AK98" s="32"/>
      <c r="AL98" s="32"/>
      <c r="AM98" s="32"/>
      <c r="AN98" s="32"/>
      <c r="AO98" s="32"/>
      <c r="AP98" s="32"/>
    </row>
    <row r="99" spans="1:42" ht="14.25" customHeight="1" x14ac:dyDescent="0.3">
      <c r="A99" s="32"/>
      <c r="B99" s="33"/>
      <c r="C99" s="34"/>
      <c r="D99" s="33"/>
      <c r="E99" s="33"/>
      <c r="F99" s="33"/>
      <c r="G99" s="33"/>
      <c r="H99" s="33"/>
      <c r="I99" s="33"/>
      <c r="J99" s="33"/>
      <c r="K99" s="33"/>
      <c r="L99" s="33"/>
      <c r="M99" s="33"/>
      <c r="N99" s="33"/>
      <c r="O99" s="33"/>
      <c r="P99" s="33"/>
      <c r="Q99" s="33"/>
      <c r="R99" s="33"/>
      <c r="S99" s="33"/>
      <c r="T99" s="33"/>
      <c r="U99" s="33"/>
      <c r="V99" s="33"/>
      <c r="W99" s="33"/>
      <c r="X99" s="33"/>
      <c r="Y99" s="33"/>
      <c r="Z99" s="33"/>
      <c r="AA99" s="33"/>
      <c r="AB99" s="33"/>
      <c r="AC99" s="33"/>
      <c r="AD99" s="33"/>
      <c r="AE99" s="33"/>
      <c r="AF99" s="33"/>
      <c r="AG99" s="33"/>
      <c r="AH99" s="33"/>
      <c r="AI99" s="33"/>
      <c r="AJ99" s="33"/>
      <c r="AK99" s="32"/>
      <c r="AL99" s="32"/>
      <c r="AM99" s="32"/>
      <c r="AN99" s="32"/>
      <c r="AO99" s="32"/>
      <c r="AP99" s="32"/>
    </row>
    <row r="100" spans="1:42" ht="14.25" customHeight="1" x14ac:dyDescent="0.3">
      <c r="A100" s="32"/>
      <c r="B100" s="33"/>
      <c r="C100" s="34"/>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2"/>
      <c r="AL100" s="32"/>
      <c r="AM100" s="32"/>
      <c r="AN100" s="32"/>
      <c r="AO100" s="32"/>
      <c r="AP100" s="32"/>
    </row>
    <row r="101" spans="1:42" ht="14.25" customHeight="1" x14ac:dyDescent="0.3">
      <c r="A101" s="32"/>
      <c r="B101" s="33"/>
      <c r="C101" s="34"/>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2"/>
      <c r="AL101" s="32"/>
      <c r="AM101" s="32"/>
      <c r="AN101" s="32"/>
      <c r="AO101" s="32"/>
      <c r="AP101" s="32"/>
    </row>
    <row r="102" spans="1:42" ht="14.25" customHeight="1" x14ac:dyDescent="0.3">
      <c r="A102" s="32"/>
      <c r="B102" s="33"/>
      <c r="C102" s="34"/>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2"/>
      <c r="AL102" s="32"/>
      <c r="AM102" s="32"/>
      <c r="AN102" s="32"/>
      <c r="AO102" s="32"/>
      <c r="AP102" s="32"/>
    </row>
    <row r="103" spans="1:42" ht="14.25" customHeight="1" x14ac:dyDescent="0.3">
      <c r="A103" s="32"/>
      <c r="B103" s="33"/>
      <c r="C103" s="34"/>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2"/>
      <c r="AL103" s="32"/>
      <c r="AM103" s="32"/>
      <c r="AN103" s="32"/>
      <c r="AO103" s="32"/>
      <c r="AP103" s="32"/>
    </row>
    <row r="104" spans="1:42" ht="14.25" customHeight="1" x14ac:dyDescent="0.3">
      <c r="A104" s="32"/>
      <c r="B104" s="33"/>
      <c r="C104" s="34"/>
      <c r="D104" s="33"/>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2"/>
      <c r="AL104" s="32"/>
      <c r="AM104" s="32"/>
      <c r="AN104" s="32"/>
      <c r="AO104" s="32"/>
      <c r="AP104" s="32"/>
    </row>
    <row r="105" spans="1:42" ht="14.25" customHeight="1" x14ac:dyDescent="0.3">
      <c r="A105" s="32"/>
      <c r="B105" s="33"/>
      <c r="C105" s="34"/>
      <c r="D105" s="33"/>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2"/>
      <c r="AL105" s="32"/>
      <c r="AM105" s="32"/>
      <c r="AN105" s="32"/>
      <c r="AO105" s="32"/>
      <c r="AP105" s="32"/>
    </row>
    <row r="106" spans="1:42" ht="14.25" customHeight="1" x14ac:dyDescent="0.3">
      <c r="A106" s="32"/>
      <c r="B106" s="33"/>
      <c r="C106" s="34"/>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2"/>
      <c r="AL106" s="32"/>
      <c r="AM106" s="32"/>
      <c r="AN106" s="32"/>
      <c r="AO106" s="32"/>
      <c r="AP106" s="32"/>
    </row>
    <row r="107" spans="1:42" ht="14.25" customHeight="1" x14ac:dyDescent="0.3">
      <c r="A107" s="32"/>
      <c r="B107" s="33"/>
      <c r="C107" s="34"/>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2"/>
      <c r="AL107" s="32"/>
      <c r="AM107" s="32"/>
      <c r="AN107" s="32"/>
      <c r="AO107" s="32"/>
      <c r="AP107" s="32"/>
    </row>
    <row r="108" spans="1:42" ht="14.25" customHeight="1" x14ac:dyDescent="0.3">
      <c r="A108" s="32"/>
      <c r="B108" s="33"/>
      <c r="C108" s="34"/>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2"/>
      <c r="AL108" s="32"/>
      <c r="AM108" s="32"/>
      <c r="AN108" s="32"/>
      <c r="AO108" s="32"/>
      <c r="AP108" s="32"/>
    </row>
    <row r="109" spans="1:42" ht="14.25" customHeight="1" x14ac:dyDescent="0.3">
      <c r="A109" s="32"/>
      <c r="B109" s="33"/>
      <c r="C109" s="34"/>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2"/>
      <c r="AL109" s="32"/>
      <c r="AM109" s="32"/>
      <c r="AN109" s="32"/>
      <c r="AO109" s="32"/>
      <c r="AP109" s="32"/>
    </row>
    <row r="110" spans="1:42" ht="14.25" customHeight="1" x14ac:dyDescent="0.3">
      <c r="A110" s="32"/>
      <c r="B110" s="33"/>
      <c r="C110" s="34"/>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2"/>
      <c r="AL110" s="32"/>
      <c r="AM110" s="32"/>
      <c r="AN110" s="32"/>
      <c r="AO110" s="32"/>
      <c r="AP110" s="32"/>
    </row>
    <row r="111" spans="1:42" ht="14.25" customHeight="1" x14ac:dyDescent="0.3">
      <c r="A111" s="32"/>
      <c r="B111" s="33"/>
      <c r="C111" s="34"/>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2"/>
      <c r="AL111" s="32"/>
      <c r="AM111" s="32"/>
      <c r="AN111" s="32"/>
      <c r="AO111" s="32"/>
      <c r="AP111" s="32"/>
    </row>
    <row r="112" spans="1:42" ht="14.25" customHeight="1" x14ac:dyDescent="0.3">
      <c r="A112" s="32"/>
      <c r="B112" s="33"/>
      <c r="C112" s="34"/>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2"/>
      <c r="AL112" s="32"/>
      <c r="AM112" s="32"/>
      <c r="AN112" s="32"/>
      <c r="AO112" s="32"/>
      <c r="AP112" s="32"/>
    </row>
    <row r="113" spans="1:42" ht="14.25" customHeight="1" x14ac:dyDescent="0.3">
      <c r="A113" s="32"/>
      <c r="B113" s="33"/>
      <c r="C113" s="34"/>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2"/>
      <c r="AL113" s="32"/>
      <c r="AM113" s="32"/>
      <c r="AN113" s="32"/>
      <c r="AO113" s="32"/>
      <c r="AP113" s="32"/>
    </row>
    <row r="114" spans="1:42" ht="14.25" customHeight="1" x14ac:dyDescent="0.3">
      <c r="A114" s="32"/>
      <c r="B114" s="33"/>
      <c r="C114" s="34"/>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2"/>
      <c r="AL114" s="32"/>
      <c r="AM114" s="32"/>
      <c r="AN114" s="32"/>
      <c r="AO114" s="32"/>
      <c r="AP114" s="32"/>
    </row>
    <row r="115" spans="1:42" ht="14.25" customHeight="1" x14ac:dyDescent="0.3">
      <c r="A115" s="32"/>
      <c r="B115" s="33"/>
      <c r="C115" s="34"/>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2"/>
      <c r="AL115" s="32"/>
      <c r="AM115" s="32"/>
      <c r="AN115" s="32"/>
      <c r="AO115" s="32"/>
      <c r="AP115" s="32"/>
    </row>
    <row r="116" spans="1:42" ht="14.25" customHeight="1" x14ac:dyDescent="0.3">
      <c r="A116" s="32"/>
      <c r="B116" s="33"/>
      <c r="C116" s="34"/>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2"/>
      <c r="AL116" s="32"/>
      <c r="AM116" s="32"/>
      <c r="AN116" s="32"/>
      <c r="AO116" s="32"/>
      <c r="AP116" s="32"/>
    </row>
    <row r="117" spans="1:42" ht="14.25" customHeight="1" x14ac:dyDescent="0.3">
      <c r="A117" s="32"/>
      <c r="B117" s="33"/>
      <c r="C117" s="34"/>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2"/>
      <c r="AL117" s="32"/>
      <c r="AM117" s="32"/>
      <c r="AN117" s="32"/>
      <c r="AO117" s="32"/>
      <c r="AP117" s="32"/>
    </row>
    <row r="118" spans="1:42" ht="14.25" customHeight="1" x14ac:dyDescent="0.3">
      <c r="A118" s="32"/>
      <c r="B118" s="33"/>
      <c r="C118" s="34"/>
      <c r="D118" s="33"/>
      <c r="E118" s="33"/>
      <c r="F118" s="33"/>
      <c r="G118" s="33"/>
      <c r="H118" s="33"/>
      <c r="I118" s="33"/>
      <c r="J118" s="33"/>
      <c r="K118" s="33"/>
      <c r="L118" s="33"/>
      <c r="M118" s="33"/>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2"/>
      <c r="AL118" s="32"/>
      <c r="AM118" s="32"/>
      <c r="AN118" s="32"/>
      <c r="AO118" s="32"/>
      <c r="AP118" s="32"/>
    </row>
    <row r="119" spans="1:42" ht="14.25" customHeight="1" x14ac:dyDescent="0.3">
      <c r="A119" s="32"/>
      <c r="B119" s="33"/>
      <c r="C119" s="34"/>
      <c r="D119" s="33"/>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2"/>
      <c r="AL119" s="32"/>
      <c r="AM119" s="32"/>
      <c r="AN119" s="32"/>
      <c r="AO119" s="32"/>
      <c r="AP119" s="32"/>
    </row>
    <row r="120" spans="1:42" ht="14.25" customHeight="1" x14ac:dyDescent="0.3">
      <c r="A120" s="32"/>
      <c r="B120" s="33"/>
      <c r="C120" s="34"/>
      <c r="D120" s="33"/>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2"/>
      <c r="AL120" s="32"/>
      <c r="AM120" s="32"/>
      <c r="AN120" s="32"/>
      <c r="AO120" s="32"/>
      <c r="AP120" s="32"/>
    </row>
    <row r="121" spans="1:42" ht="14.25" customHeight="1" x14ac:dyDescent="0.3">
      <c r="A121" s="32"/>
      <c r="B121" s="33"/>
      <c r="C121" s="34"/>
      <c r="D121" s="33"/>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2"/>
      <c r="AL121" s="32"/>
      <c r="AM121" s="32"/>
      <c r="AN121" s="32"/>
      <c r="AO121" s="32"/>
      <c r="AP121" s="32"/>
    </row>
    <row r="122" spans="1:42" ht="14.25" customHeight="1" x14ac:dyDescent="0.3">
      <c r="A122" s="32"/>
      <c r="B122" s="33"/>
      <c r="C122" s="34"/>
      <c r="D122" s="33"/>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2"/>
      <c r="AL122" s="32"/>
      <c r="AM122" s="32"/>
      <c r="AN122" s="32"/>
      <c r="AO122" s="32"/>
      <c r="AP122" s="32"/>
    </row>
    <row r="123" spans="1:42" ht="14.25" customHeight="1" x14ac:dyDescent="0.3">
      <c r="A123" s="32"/>
      <c r="B123" s="33"/>
      <c r="C123" s="34"/>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2"/>
      <c r="AL123" s="32"/>
      <c r="AM123" s="32"/>
      <c r="AN123" s="32"/>
      <c r="AO123" s="32"/>
      <c r="AP123" s="32"/>
    </row>
    <row r="124" spans="1:42" ht="14.25" customHeight="1" x14ac:dyDescent="0.3">
      <c r="A124" s="32"/>
      <c r="B124" s="33"/>
      <c r="C124" s="34"/>
      <c r="D124" s="33"/>
      <c r="E124" s="33"/>
      <c r="F124" s="33"/>
      <c r="G124" s="33"/>
      <c r="H124" s="33"/>
      <c r="I124" s="33"/>
      <c r="J124" s="33"/>
      <c r="K124" s="33"/>
      <c r="L124" s="33"/>
      <c r="M124" s="33"/>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2"/>
      <c r="AL124" s="32"/>
      <c r="AM124" s="32"/>
      <c r="AN124" s="32"/>
      <c r="AO124" s="32"/>
      <c r="AP124" s="32"/>
    </row>
    <row r="125" spans="1:42" ht="14.25" customHeight="1" x14ac:dyDescent="0.3">
      <c r="A125" s="32"/>
      <c r="B125" s="33"/>
      <c r="C125" s="34"/>
      <c r="D125" s="33"/>
      <c r="E125" s="33"/>
      <c r="F125" s="33"/>
      <c r="G125" s="33"/>
      <c r="H125" s="33"/>
      <c r="I125" s="33"/>
      <c r="J125" s="33"/>
      <c r="K125" s="33"/>
      <c r="L125" s="33"/>
      <c r="M125" s="33"/>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2"/>
      <c r="AL125" s="32"/>
      <c r="AM125" s="32"/>
      <c r="AN125" s="32"/>
      <c r="AO125" s="32"/>
      <c r="AP125" s="32"/>
    </row>
    <row r="126" spans="1:42" ht="14.25" customHeight="1" x14ac:dyDescent="0.3">
      <c r="A126" s="32"/>
      <c r="B126" s="33"/>
      <c r="C126" s="34"/>
      <c r="D126" s="33"/>
      <c r="E126" s="33"/>
      <c r="F126" s="33"/>
      <c r="G126" s="33"/>
      <c r="H126" s="33"/>
      <c r="I126" s="33"/>
      <c r="J126" s="33"/>
      <c r="K126" s="33"/>
      <c r="L126" s="33"/>
      <c r="M126" s="33"/>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2"/>
      <c r="AL126" s="32"/>
      <c r="AM126" s="32"/>
      <c r="AN126" s="32"/>
      <c r="AO126" s="32"/>
      <c r="AP126" s="32"/>
    </row>
    <row r="127" spans="1:42" ht="14.25" customHeight="1" x14ac:dyDescent="0.3">
      <c r="A127" s="32"/>
      <c r="B127" s="33"/>
      <c r="C127" s="34"/>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2"/>
      <c r="AL127" s="32"/>
      <c r="AM127" s="32"/>
      <c r="AN127" s="32"/>
      <c r="AO127" s="32"/>
      <c r="AP127" s="32"/>
    </row>
    <row r="128" spans="1:42" ht="14.25" customHeight="1" x14ac:dyDescent="0.3">
      <c r="A128" s="32"/>
      <c r="B128" s="33"/>
      <c r="C128" s="34"/>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2"/>
      <c r="AL128" s="32"/>
      <c r="AM128" s="32"/>
      <c r="AN128" s="32"/>
      <c r="AO128" s="32"/>
      <c r="AP128" s="32"/>
    </row>
    <row r="129" spans="1:42" ht="14.25" customHeight="1" x14ac:dyDescent="0.3">
      <c r="A129" s="32"/>
      <c r="B129" s="33"/>
      <c r="C129" s="34"/>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2"/>
      <c r="AL129" s="32"/>
      <c r="AM129" s="32"/>
      <c r="AN129" s="32"/>
      <c r="AO129" s="32"/>
      <c r="AP129" s="32"/>
    </row>
    <row r="130" spans="1:42" ht="14.25" customHeight="1" x14ac:dyDescent="0.3">
      <c r="A130" s="32"/>
      <c r="B130" s="33"/>
      <c r="C130" s="34"/>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2"/>
      <c r="AL130" s="32"/>
      <c r="AM130" s="32"/>
      <c r="AN130" s="32"/>
      <c r="AO130" s="32"/>
      <c r="AP130" s="32"/>
    </row>
    <row r="131" spans="1:42" ht="14.25" customHeight="1" x14ac:dyDescent="0.3">
      <c r="A131" s="32"/>
      <c r="B131" s="33"/>
      <c r="C131" s="34"/>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2"/>
      <c r="AL131" s="32"/>
      <c r="AM131" s="32"/>
      <c r="AN131" s="32"/>
      <c r="AO131" s="32"/>
      <c r="AP131" s="32"/>
    </row>
    <row r="132" spans="1:42" ht="14.25" customHeight="1" x14ac:dyDescent="0.3">
      <c r="A132" s="32"/>
      <c r="B132" s="33"/>
      <c r="C132" s="34"/>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2"/>
      <c r="AL132" s="32"/>
      <c r="AM132" s="32"/>
      <c r="AN132" s="32"/>
      <c r="AO132" s="32"/>
      <c r="AP132" s="32"/>
    </row>
    <row r="133" spans="1:42" ht="14.25" customHeight="1" x14ac:dyDescent="0.3">
      <c r="A133" s="32"/>
      <c r="B133" s="33"/>
      <c r="C133" s="34"/>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2"/>
      <c r="AL133" s="32"/>
      <c r="AM133" s="32"/>
      <c r="AN133" s="32"/>
      <c r="AO133" s="32"/>
      <c r="AP133" s="32"/>
    </row>
    <row r="134" spans="1:42" ht="14.25" customHeight="1" x14ac:dyDescent="0.3">
      <c r="A134" s="32"/>
      <c r="B134" s="33"/>
      <c r="C134" s="34"/>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2"/>
      <c r="AL134" s="32"/>
      <c r="AM134" s="32"/>
      <c r="AN134" s="32"/>
      <c r="AO134" s="32"/>
      <c r="AP134" s="32"/>
    </row>
    <row r="135" spans="1:42" ht="14.25" customHeight="1" x14ac:dyDescent="0.3">
      <c r="A135" s="32"/>
      <c r="B135" s="33"/>
      <c r="C135" s="34"/>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2"/>
      <c r="AL135" s="32"/>
      <c r="AM135" s="32"/>
      <c r="AN135" s="32"/>
      <c r="AO135" s="32"/>
      <c r="AP135" s="32"/>
    </row>
    <row r="136" spans="1:42" ht="14.25" customHeight="1" x14ac:dyDescent="0.3">
      <c r="A136" s="32"/>
      <c r="B136" s="33"/>
      <c r="C136" s="34"/>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2"/>
      <c r="AL136" s="32"/>
      <c r="AM136" s="32"/>
      <c r="AN136" s="32"/>
      <c r="AO136" s="32"/>
      <c r="AP136" s="32"/>
    </row>
    <row r="137" spans="1:42" ht="14.25" customHeight="1" x14ac:dyDescent="0.3">
      <c r="A137" s="32"/>
      <c r="B137" s="33"/>
      <c r="C137" s="34"/>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2"/>
      <c r="AL137" s="32"/>
      <c r="AM137" s="32"/>
      <c r="AN137" s="32"/>
      <c r="AO137" s="32"/>
      <c r="AP137" s="32"/>
    </row>
    <row r="138" spans="1:42" ht="14.25" customHeight="1" x14ac:dyDescent="0.3">
      <c r="A138" s="32"/>
      <c r="B138" s="33"/>
      <c r="C138" s="34"/>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2"/>
      <c r="AL138" s="32"/>
      <c r="AM138" s="32"/>
      <c r="AN138" s="32"/>
      <c r="AO138" s="32"/>
      <c r="AP138" s="32"/>
    </row>
    <row r="139" spans="1:42" ht="14.25" customHeight="1" x14ac:dyDescent="0.3">
      <c r="A139" s="32"/>
      <c r="B139" s="33"/>
      <c r="C139" s="34"/>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2"/>
      <c r="AL139" s="32"/>
      <c r="AM139" s="32"/>
      <c r="AN139" s="32"/>
      <c r="AO139" s="32"/>
      <c r="AP139" s="32"/>
    </row>
    <row r="140" spans="1:42" ht="14.25" customHeight="1" x14ac:dyDescent="0.3">
      <c r="A140" s="32"/>
      <c r="B140" s="33"/>
      <c r="C140" s="34"/>
      <c r="D140" s="33"/>
      <c r="E140" s="33"/>
      <c r="F140" s="33"/>
      <c r="G140" s="33"/>
      <c r="H140" s="33"/>
      <c r="I140" s="33"/>
      <c r="J140" s="33"/>
      <c r="K140" s="33"/>
      <c r="L140" s="33"/>
      <c r="M140" s="33"/>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2"/>
      <c r="AL140" s="32"/>
      <c r="AM140" s="32"/>
      <c r="AN140" s="32"/>
      <c r="AO140" s="32"/>
      <c r="AP140" s="32"/>
    </row>
    <row r="141" spans="1:42" ht="14.25" customHeight="1" x14ac:dyDescent="0.3">
      <c r="A141" s="32"/>
      <c r="B141" s="33"/>
      <c r="C141" s="34"/>
      <c r="D141" s="33"/>
      <c r="E141" s="33"/>
      <c r="F141" s="33"/>
      <c r="G141" s="33"/>
      <c r="H141" s="33"/>
      <c r="I141" s="33"/>
      <c r="J141" s="33"/>
      <c r="K141" s="33"/>
      <c r="L141" s="33"/>
      <c r="M141" s="33"/>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2"/>
      <c r="AL141" s="32"/>
      <c r="AM141" s="32"/>
      <c r="AN141" s="32"/>
      <c r="AO141" s="32"/>
      <c r="AP141" s="32"/>
    </row>
    <row r="142" spans="1:42" ht="14.25" customHeight="1" x14ac:dyDescent="0.3">
      <c r="A142" s="32"/>
      <c r="B142" s="33"/>
      <c r="C142" s="34"/>
      <c r="D142" s="33"/>
      <c r="E142" s="33"/>
      <c r="F142" s="33"/>
      <c r="G142" s="33"/>
      <c r="H142" s="33"/>
      <c r="I142" s="33"/>
      <c r="J142" s="33"/>
      <c r="K142" s="33"/>
      <c r="L142" s="33"/>
      <c r="M142" s="33"/>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2"/>
      <c r="AL142" s="32"/>
      <c r="AM142" s="32"/>
      <c r="AN142" s="32"/>
      <c r="AO142" s="32"/>
      <c r="AP142" s="32"/>
    </row>
    <row r="143" spans="1:42" ht="14.25" customHeight="1" x14ac:dyDescent="0.3">
      <c r="A143" s="32"/>
      <c r="B143" s="33"/>
      <c r="C143" s="34"/>
      <c r="D143" s="33"/>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2"/>
      <c r="AL143" s="32"/>
      <c r="AM143" s="32"/>
      <c r="AN143" s="32"/>
      <c r="AO143" s="32"/>
      <c r="AP143" s="32"/>
    </row>
    <row r="144" spans="1:42" ht="14.25" customHeight="1" x14ac:dyDescent="0.3">
      <c r="A144" s="32"/>
      <c r="B144" s="33"/>
      <c r="C144" s="34"/>
      <c r="D144" s="33"/>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2"/>
      <c r="AL144" s="32"/>
      <c r="AM144" s="32"/>
      <c r="AN144" s="32"/>
      <c r="AO144" s="32"/>
      <c r="AP144" s="32"/>
    </row>
    <row r="145" spans="1:42" ht="14.25" customHeight="1" x14ac:dyDescent="0.3">
      <c r="A145" s="32"/>
      <c r="B145" s="33"/>
      <c r="C145" s="34"/>
      <c r="D145" s="33"/>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2"/>
      <c r="AL145" s="32"/>
      <c r="AM145" s="32"/>
      <c r="AN145" s="32"/>
      <c r="AO145" s="32"/>
      <c r="AP145" s="32"/>
    </row>
    <row r="146" spans="1:42" ht="14.25" customHeight="1" x14ac:dyDescent="0.3">
      <c r="A146" s="32"/>
      <c r="B146" s="33"/>
      <c r="C146" s="34"/>
      <c r="D146" s="33"/>
      <c r="E146" s="33"/>
      <c r="F146" s="33"/>
      <c r="G146" s="33"/>
      <c r="H146" s="33"/>
      <c r="I146" s="33"/>
      <c r="J146" s="33"/>
      <c r="K146" s="33"/>
      <c r="L146" s="33"/>
      <c r="M146" s="33"/>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2"/>
      <c r="AL146" s="32"/>
      <c r="AM146" s="32"/>
      <c r="AN146" s="32"/>
      <c r="AO146" s="32"/>
      <c r="AP146" s="32"/>
    </row>
    <row r="147" spans="1:42" ht="14.25" customHeight="1" x14ac:dyDescent="0.3">
      <c r="A147" s="32"/>
      <c r="B147" s="33"/>
      <c r="C147" s="34"/>
      <c r="D147" s="33"/>
      <c r="E147" s="33"/>
      <c r="F147" s="33"/>
      <c r="G147" s="33"/>
      <c r="H147" s="33"/>
      <c r="I147" s="33"/>
      <c r="J147" s="33"/>
      <c r="K147" s="33"/>
      <c r="L147" s="33"/>
      <c r="M147" s="33"/>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2"/>
      <c r="AL147" s="32"/>
      <c r="AM147" s="32"/>
      <c r="AN147" s="32"/>
      <c r="AO147" s="32"/>
      <c r="AP147" s="32"/>
    </row>
    <row r="148" spans="1:42" ht="14.25" customHeight="1" x14ac:dyDescent="0.3">
      <c r="A148" s="32"/>
      <c r="B148" s="33"/>
      <c r="C148" s="34"/>
      <c r="D148" s="33"/>
      <c r="E148" s="33"/>
      <c r="F148" s="33"/>
      <c r="G148" s="33"/>
      <c r="H148" s="33"/>
      <c r="I148" s="33"/>
      <c r="J148" s="33"/>
      <c r="K148" s="33"/>
      <c r="L148" s="33"/>
      <c r="M148" s="33"/>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2"/>
      <c r="AL148" s="32"/>
      <c r="AM148" s="32"/>
      <c r="AN148" s="32"/>
      <c r="AO148" s="32"/>
      <c r="AP148" s="32"/>
    </row>
    <row r="149" spans="1:42" ht="14.25" customHeight="1" x14ac:dyDescent="0.3">
      <c r="A149" s="32"/>
      <c r="B149" s="33"/>
      <c r="C149" s="34"/>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2"/>
      <c r="AL149" s="32"/>
      <c r="AM149" s="32"/>
      <c r="AN149" s="32"/>
      <c r="AO149" s="32"/>
      <c r="AP149" s="32"/>
    </row>
    <row r="150" spans="1:42" ht="14.25" customHeight="1" x14ac:dyDescent="0.3">
      <c r="A150" s="32"/>
      <c r="B150" s="33"/>
      <c r="C150" s="34"/>
      <c r="D150" s="33"/>
      <c r="E150" s="33"/>
      <c r="F150" s="33"/>
      <c r="G150" s="33"/>
      <c r="H150" s="33"/>
      <c r="I150" s="33"/>
      <c r="J150" s="33"/>
      <c r="K150" s="33"/>
      <c r="L150" s="33"/>
      <c r="M150" s="33"/>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2"/>
      <c r="AL150" s="32"/>
      <c r="AM150" s="32"/>
      <c r="AN150" s="32"/>
      <c r="AO150" s="32"/>
      <c r="AP150" s="32"/>
    </row>
    <row r="151" spans="1:42" ht="14.25" customHeight="1" x14ac:dyDescent="0.3">
      <c r="A151" s="32"/>
      <c r="B151" s="33"/>
      <c r="C151" s="34"/>
      <c r="D151" s="33"/>
      <c r="E151" s="33"/>
      <c r="F151" s="33"/>
      <c r="G151" s="33"/>
      <c r="H151" s="33"/>
      <c r="I151" s="33"/>
      <c r="J151" s="33"/>
      <c r="K151" s="33"/>
      <c r="L151" s="33"/>
      <c r="M151" s="33"/>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2"/>
      <c r="AL151" s="32"/>
      <c r="AM151" s="32"/>
      <c r="AN151" s="32"/>
      <c r="AO151" s="32"/>
      <c r="AP151" s="32"/>
    </row>
    <row r="152" spans="1:42" ht="14.25" customHeight="1" x14ac:dyDescent="0.3">
      <c r="A152" s="32"/>
      <c r="B152" s="33"/>
      <c r="C152" s="34"/>
      <c r="D152" s="33"/>
      <c r="E152" s="33"/>
      <c r="F152" s="33"/>
      <c r="G152" s="33"/>
      <c r="H152" s="33"/>
      <c r="I152" s="33"/>
      <c r="J152" s="33"/>
      <c r="K152" s="33"/>
      <c r="L152" s="33"/>
      <c r="M152" s="33"/>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2"/>
      <c r="AL152" s="32"/>
      <c r="AM152" s="32"/>
      <c r="AN152" s="32"/>
      <c r="AO152" s="32"/>
      <c r="AP152" s="32"/>
    </row>
    <row r="153" spans="1:42" ht="14.25" customHeight="1" x14ac:dyDescent="0.3">
      <c r="A153" s="32"/>
      <c r="B153" s="33"/>
      <c r="C153" s="34"/>
      <c r="D153" s="33"/>
      <c r="E153" s="33"/>
      <c r="F153" s="33"/>
      <c r="G153" s="33"/>
      <c r="H153" s="33"/>
      <c r="I153" s="33"/>
      <c r="J153" s="33"/>
      <c r="K153" s="33"/>
      <c r="L153" s="33"/>
      <c r="M153" s="33"/>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2"/>
      <c r="AL153" s="32"/>
      <c r="AM153" s="32"/>
      <c r="AN153" s="32"/>
      <c r="AO153" s="32"/>
      <c r="AP153" s="32"/>
    </row>
    <row r="154" spans="1:42" ht="14.25" customHeight="1" x14ac:dyDescent="0.3">
      <c r="A154" s="32"/>
      <c r="B154" s="33"/>
      <c r="C154" s="34"/>
      <c r="D154" s="33"/>
      <c r="E154" s="33"/>
      <c r="F154" s="33"/>
      <c r="G154" s="33"/>
      <c r="H154" s="33"/>
      <c r="I154" s="33"/>
      <c r="J154" s="33"/>
      <c r="K154" s="33"/>
      <c r="L154" s="33"/>
      <c r="M154" s="33"/>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2"/>
      <c r="AL154" s="32"/>
      <c r="AM154" s="32"/>
      <c r="AN154" s="32"/>
      <c r="AO154" s="32"/>
      <c r="AP154" s="32"/>
    </row>
    <row r="155" spans="1:42" ht="14.25" customHeight="1" x14ac:dyDescent="0.3">
      <c r="A155" s="32"/>
      <c r="B155" s="33"/>
      <c r="C155" s="34"/>
      <c r="D155" s="33"/>
      <c r="E155" s="33"/>
      <c r="F155" s="33"/>
      <c r="G155" s="33"/>
      <c r="H155" s="33"/>
      <c r="I155" s="33"/>
      <c r="J155" s="33"/>
      <c r="K155" s="33"/>
      <c r="L155" s="33"/>
      <c r="M155" s="33"/>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2"/>
      <c r="AL155" s="32"/>
      <c r="AM155" s="32"/>
      <c r="AN155" s="32"/>
      <c r="AO155" s="32"/>
      <c r="AP155" s="32"/>
    </row>
    <row r="156" spans="1:42" ht="14.25" customHeight="1" x14ac:dyDescent="0.3">
      <c r="A156" s="32"/>
      <c r="B156" s="33"/>
      <c r="C156" s="34"/>
      <c r="D156" s="33"/>
      <c r="E156" s="33"/>
      <c r="F156" s="33"/>
      <c r="G156" s="33"/>
      <c r="H156" s="33"/>
      <c r="I156" s="33"/>
      <c r="J156" s="33"/>
      <c r="K156" s="33"/>
      <c r="L156" s="33"/>
      <c r="M156" s="33"/>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2"/>
      <c r="AL156" s="32"/>
      <c r="AM156" s="32"/>
      <c r="AN156" s="32"/>
      <c r="AO156" s="32"/>
      <c r="AP156" s="32"/>
    </row>
    <row r="157" spans="1:42" ht="14.25" customHeight="1" x14ac:dyDescent="0.3">
      <c r="A157" s="32"/>
      <c r="B157" s="33"/>
      <c r="C157" s="34"/>
      <c r="D157" s="33"/>
      <c r="E157" s="33"/>
      <c r="F157" s="33"/>
      <c r="G157" s="33"/>
      <c r="H157" s="33"/>
      <c r="I157" s="33"/>
      <c r="J157" s="33"/>
      <c r="K157" s="33"/>
      <c r="L157" s="33"/>
      <c r="M157" s="33"/>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2"/>
      <c r="AL157" s="32"/>
      <c r="AM157" s="32"/>
      <c r="AN157" s="32"/>
      <c r="AO157" s="32"/>
      <c r="AP157" s="32"/>
    </row>
    <row r="158" spans="1:42" ht="14.25" customHeight="1" x14ac:dyDescent="0.3">
      <c r="A158" s="32"/>
      <c r="B158" s="33"/>
      <c r="C158" s="34"/>
      <c r="D158" s="33"/>
      <c r="E158" s="33"/>
      <c r="F158" s="33"/>
      <c r="G158" s="33"/>
      <c r="H158" s="33"/>
      <c r="I158" s="33"/>
      <c r="J158" s="33"/>
      <c r="K158" s="33"/>
      <c r="L158" s="33"/>
      <c r="M158" s="33"/>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2"/>
      <c r="AL158" s="32"/>
      <c r="AM158" s="32"/>
      <c r="AN158" s="32"/>
      <c r="AO158" s="32"/>
      <c r="AP158" s="32"/>
    </row>
    <row r="159" spans="1:42" ht="14.25" customHeight="1" x14ac:dyDescent="0.3">
      <c r="A159" s="32"/>
      <c r="B159" s="33"/>
      <c r="C159" s="34"/>
      <c r="D159" s="33"/>
      <c r="E159" s="33"/>
      <c r="F159" s="33"/>
      <c r="G159" s="33"/>
      <c r="H159" s="33"/>
      <c r="I159" s="33"/>
      <c r="J159" s="33"/>
      <c r="K159" s="33"/>
      <c r="L159" s="33"/>
      <c r="M159" s="33"/>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2"/>
      <c r="AL159" s="32"/>
      <c r="AM159" s="32"/>
      <c r="AN159" s="32"/>
      <c r="AO159" s="32"/>
      <c r="AP159" s="32"/>
    </row>
    <row r="160" spans="1:42" ht="14.25" customHeight="1" x14ac:dyDescent="0.3">
      <c r="A160" s="32"/>
      <c r="B160" s="33"/>
      <c r="C160" s="34"/>
      <c r="D160" s="33"/>
      <c r="E160" s="33"/>
      <c r="F160" s="33"/>
      <c r="G160" s="33"/>
      <c r="H160" s="33"/>
      <c r="I160" s="33"/>
      <c r="J160" s="33"/>
      <c r="K160" s="33"/>
      <c r="L160" s="33"/>
      <c r="M160" s="33"/>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2"/>
      <c r="AL160" s="32"/>
      <c r="AM160" s="32"/>
      <c r="AN160" s="32"/>
      <c r="AO160" s="32"/>
      <c r="AP160" s="32"/>
    </row>
    <row r="161" spans="1:42" ht="14.25" customHeight="1" x14ac:dyDescent="0.3">
      <c r="A161" s="32"/>
      <c r="B161" s="33"/>
      <c r="C161" s="34"/>
      <c r="D161" s="33"/>
      <c r="E161" s="33"/>
      <c r="F161" s="33"/>
      <c r="G161" s="33"/>
      <c r="H161" s="33"/>
      <c r="I161" s="33"/>
      <c r="J161" s="33"/>
      <c r="K161" s="33"/>
      <c r="L161" s="33"/>
      <c r="M161" s="33"/>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2"/>
      <c r="AL161" s="32"/>
      <c r="AM161" s="32"/>
      <c r="AN161" s="32"/>
      <c r="AO161" s="32"/>
      <c r="AP161" s="32"/>
    </row>
    <row r="162" spans="1:42" ht="14.25" customHeight="1" x14ac:dyDescent="0.3">
      <c r="A162" s="32"/>
      <c r="B162" s="33"/>
      <c r="C162" s="34"/>
      <c r="D162" s="33"/>
      <c r="E162" s="33"/>
      <c r="F162" s="33"/>
      <c r="G162" s="33"/>
      <c r="H162" s="33"/>
      <c r="I162" s="33"/>
      <c r="J162" s="33"/>
      <c r="K162" s="33"/>
      <c r="L162" s="33"/>
      <c r="M162" s="33"/>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2"/>
      <c r="AL162" s="32"/>
      <c r="AM162" s="32"/>
      <c r="AN162" s="32"/>
      <c r="AO162" s="32"/>
      <c r="AP162" s="32"/>
    </row>
    <row r="163" spans="1:42" ht="14.25" customHeight="1" x14ac:dyDescent="0.3">
      <c r="A163" s="32"/>
      <c r="B163" s="33"/>
      <c r="C163" s="34"/>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2"/>
      <c r="AL163" s="32"/>
      <c r="AM163" s="32"/>
      <c r="AN163" s="32"/>
      <c r="AO163" s="32"/>
      <c r="AP163" s="32"/>
    </row>
    <row r="164" spans="1:42" ht="14.25" customHeight="1" x14ac:dyDescent="0.3">
      <c r="A164" s="32"/>
      <c r="B164" s="33"/>
      <c r="C164" s="34"/>
      <c r="D164" s="33"/>
      <c r="E164" s="33"/>
      <c r="F164" s="33"/>
      <c r="G164" s="33"/>
      <c r="H164" s="33"/>
      <c r="I164" s="33"/>
      <c r="J164" s="33"/>
      <c r="K164" s="33"/>
      <c r="L164" s="33"/>
      <c r="M164" s="33"/>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2"/>
      <c r="AL164" s="32"/>
      <c r="AM164" s="32"/>
      <c r="AN164" s="32"/>
      <c r="AO164" s="32"/>
      <c r="AP164" s="32"/>
    </row>
    <row r="165" spans="1:42" ht="14.25" customHeight="1" x14ac:dyDescent="0.3">
      <c r="A165" s="32"/>
      <c r="B165" s="33"/>
      <c r="C165" s="34"/>
      <c r="D165" s="33"/>
      <c r="E165" s="33"/>
      <c r="F165" s="33"/>
      <c r="G165" s="33"/>
      <c r="H165" s="33"/>
      <c r="I165" s="33"/>
      <c r="J165" s="33"/>
      <c r="K165" s="33"/>
      <c r="L165" s="33"/>
      <c r="M165" s="33"/>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2"/>
      <c r="AL165" s="32"/>
      <c r="AM165" s="32"/>
      <c r="AN165" s="32"/>
      <c r="AO165" s="32"/>
      <c r="AP165" s="32"/>
    </row>
    <row r="166" spans="1:42" ht="14.25" customHeight="1" x14ac:dyDescent="0.3">
      <c r="A166" s="32"/>
      <c r="B166" s="33"/>
      <c r="C166" s="34"/>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2"/>
      <c r="AL166" s="32"/>
      <c r="AM166" s="32"/>
      <c r="AN166" s="32"/>
      <c r="AO166" s="32"/>
      <c r="AP166" s="32"/>
    </row>
    <row r="167" spans="1:42" ht="14.25" customHeight="1" x14ac:dyDescent="0.3">
      <c r="A167" s="32"/>
      <c r="B167" s="33"/>
      <c r="C167" s="34"/>
      <c r="D167" s="33"/>
      <c r="E167" s="33"/>
      <c r="F167" s="33"/>
      <c r="G167" s="33"/>
      <c r="H167" s="33"/>
      <c r="I167" s="33"/>
      <c r="J167" s="33"/>
      <c r="K167" s="33"/>
      <c r="L167" s="33"/>
      <c r="M167" s="33"/>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2"/>
      <c r="AL167" s="32"/>
      <c r="AM167" s="32"/>
      <c r="AN167" s="32"/>
      <c r="AO167" s="32"/>
      <c r="AP167" s="32"/>
    </row>
    <row r="168" spans="1:42" ht="14.25" customHeight="1" x14ac:dyDescent="0.3">
      <c r="A168" s="32"/>
      <c r="B168" s="33"/>
      <c r="C168" s="34"/>
      <c r="D168" s="33"/>
      <c r="E168" s="33"/>
      <c r="F168" s="33"/>
      <c r="G168" s="33"/>
      <c r="H168" s="33"/>
      <c r="I168" s="33"/>
      <c r="J168" s="33"/>
      <c r="K168" s="33"/>
      <c r="L168" s="33"/>
      <c r="M168" s="33"/>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2"/>
      <c r="AL168" s="32"/>
      <c r="AM168" s="32"/>
      <c r="AN168" s="32"/>
      <c r="AO168" s="32"/>
      <c r="AP168" s="32"/>
    </row>
    <row r="169" spans="1:42" ht="14.25" customHeight="1" x14ac:dyDescent="0.3">
      <c r="A169" s="32"/>
      <c r="B169" s="33"/>
      <c r="C169" s="34"/>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2"/>
      <c r="AL169" s="32"/>
      <c r="AM169" s="32"/>
      <c r="AN169" s="32"/>
      <c r="AO169" s="32"/>
      <c r="AP169" s="32"/>
    </row>
    <row r="170" spans="1:42" ht="14.25" customHeight="1" x14ac:dyDescent="0.3">
      <c r="A170" s="32"/>
      <c r="B170" s="33"/>
      <c r="C170" s="34"/>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2"/>
      <c r="AL170" s="32"/>
      <c r="AM170" s="32"/>
      <c r="AN170" s="32"/>
      <c r="AO170" s="32"/>
      <c r="AP170" s="32"/>
    </row>
    <row r="171" spans="1:42" ht="14.25" customHeight="1" x14ac:dyDescent="0.3">
      <c r="A171" s="32"/>
      <c r="B171" s="33"/>
      <c r="C171" s="34"/>
      <c r="D171" s="33"/>
      <c r="E171" s="33"/>
      <c r="F171" s="33"/>
      <c r="G171" s="33"/>
      <c r="H171" s="33"/>
      <c r="I171" s="33"/>
      <c r="J171" s="33"/>
      <c r="K171" s="33"/>
      <c r="L171" s="33"/>
      <c r="M171" s="33"/>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2"/>
      <c r="AL171" s="32"/>
      <c r="AM171" s="32"/>
      <c r="AN171" s="32"/>
      <c r="AO171" s="32"/>
      <c r="AP171" s="32"/>
    </row>
    <row r="172" spans="1:42" ht="14.25" customHeight="1" x14ac:dyDescent="0.3">
      <c r="A172" s="32"/>
      <c r="B172" s="33"/>
      <c r="C172" s="34"/>
      <c r="D172" s="33"/>
      <c r="E172" s="33"/>
      <c r="F172" s="33"/>
      <c r="G172" s="33"/>
      <c r="H172" s="33"/>
      <c r="I172" s="33"/>
      <c r="J172" s="33"/>
      <c r="K172" s="33"/>
      <c r="L172" s="33"/>
      <c r="M172" s="33"/>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2"/>
      <c r="AL172" s="32"/>
      <c r="AM172" s="32"/>
      <c r="AN172" s="32"/>
      <c r="AO172" s="32"/>
      <c r="AP172" s="32"/>
    </row>
    <row r="173" spans="1:42" ht="14.25" customHeight="1" x14ac:dyDescent="0.3">
      <c r="A173" s="32"/>
      <c r="B173" s="33"/>
      <c r="C173" s="34"/>
      <c r="D173" s="33"/>
      <c r="E173" s="33"/>
      <c r="F173" s="33"/>
      <c r="G173" s="33"/>
      <c r="H173" s="33"/>
      <c r="I173" s="33"/>
      <c r="J173" s="33"/>
      <c r="K173" s="33"/>
      <c r="L173" s="33"/>
      <c r="M173" s="33"/>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2"/>
      <c r="AL173" s="32"/>
      <c r="AM173" s="32"/>
      <c r="AN173" s="32"/>
      <c r="AO173" s="32"/>
      <c r="AP173" s="32"/>
    </row>
    <row r="174" spans="1:42" ht="14.25" customHeight="1" x14ac:dyDescent="0.3">
      <c r="A174" s="32"/>
      <c r="B174" s="33"/>
      <c r="C174" s="34"/>
      <c r="D174" s="33"/>
      <c r="E174" s="33"/>
      <c r="F174" s="33"/>
      <c r="G174" s="33"/>
      <c r="H174" s="33"/>
      <c r="I174" s="33"/>
      <c r="J174" s="33"/>
      <c r="K174" s="33"/>
      <c r="L174" s="33"/>
      <c r="M174" s="33"/>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2"/>
      <c r="AL174" s="32"/>
      <c r="AM174" s="32"/>
      <c r="AN174" s="32"/>
      <c r="AO174" s="32"/>
      <c r="AP174" s="32"/>
    </row>
    <row r="175" spans="1:42" ht="14.25" customHeight="1" x14ac:dyDescent="0.3">
      <c r="A175" s="32"/>
      <c r="B175" s="33"/>
      <c r="C175" s="34"/>
      <c r="D175" s="33"/>
      <c r="E175" s="33"/>
      <c r="F175" s="33"/>
      <c r="G175" s="33"/>
      <c r="H175" s="33"/>
      <c r="I175" s="33"/>
      <c r="J175" s="33"/>
      <c r="K175" s="33"/>
      <c r="L175" s="33"/>
      <c r="M175" s="33"/>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2"/>
      <c r="AL175" s="32"/>
      <c r="AM175" s="32"/>
      <c r="AN175" s="32"/>
      <c r="AO175" s="32"/>
      <c r="AP175" s="32"/>
    </row>
    <row r="176" spans="1:42" ht="14.25" customHeight="1" x14ac:dyDescent="0.3">
      <c r="A176" s="32"/>
      <c r="B176" s="33"/>
      <c r="C176" s="34"/>
      <c r="D176" s="33"/>
      <c r="E176" s="33"/>
      <c r="F176" s="33"/>
      <c r="G176" s="33"/>
      <c r="H176" s="33"/>
      <c r="I176" s="33"/>
      <c r="J176" s="33"/>
      <c r="K176" s="33"/>
      <c r="L176" s="33"/>
      <c r="M176" s="33"/>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2"/>
      <c r="AL176" s="32"/>
      <c r="AM176" s="32"/>
      <c r="AN176" s="32"/>
      <c r="AO176" s="32"/>
      <c r="AP176" s="32"/>
    </row>
    <row r="177" spans="1:42" ht="14.25" customHeight="1" x14ac:dyDescent="0.3">
      <c r="A177" s="32"/>
      <c r="B177" s="33"/>
      <c r="C177" s="34"/>
      <c r="D177" s="33"/>
      <c r="E177" s="33"/>
      <c r="F177" s="33"/>
      <c r="G177" s="33"/>
      <c r="H177" s="33"/>
      <c r="I177" s="33"/>
      <c r="J177" s="33"/>
      <c r="K177" s="33"/>
      <c r="L177" s="33"/>
      <c r="M177" s="33"/>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2"/>
      <c r="AL177" s="32"/>
      <c r="AM177" s="32"/>
      <c r="AN177" s="32"/>
      <c r="AO177" s="32"/>
      <c r="AP177" s="32"/>
    </row>
    <row r="178" spans="1:42" ht="14.25" customHeight="1" x14ac:dyDescent="0.3">
      <c r="A178" s="32"/>
      <c r="B178" s="33"/>
      <c r="C178" s="34"/>
      <c r="D178" s="33"/>
      <c r="E178" s="33"/>
      <c r="F178" s="33"/>
      <c r="G178" s="33"/>
      <c r="H178" s="33"/>
      <c r="I178" s="33"/>
      <c r="J178" s="33"/>
      <c r="K178" s="33"/>
      <c r="L178" s="33"/>
      <c r="M178" s="33"/>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2"/>
      <c r="AL178" s="32"/>
      <c r="AM178" s="32"/>
      <c r="AN178" s="32"/>
      <c r="AO178" s="32"/>
      <c r="AP178" s="32"/>
    </row>
    <row r="179" spans="1:42" ht="14.25" customHeight="1" x14ac:dyDescent="0.3">
      <c r="A179" s="32"/>
      <c r="B179" s="33"/>
      <c r="C179" s="34"/>
      <c r="D179" s="33"/>
      <c r="E179" s="33"/>
      <c r="F179" s="33"/>
      <c r="G179" s="33"/>
      <c r="H179" s="33"/>
      <c r="I179" s="33"/>
      <c r="J179" s="33"/>
      <c r="K179" s="33"/>
      <c r="L179" s="33"/>
      <c r="M179" s="33"/>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2"/>
      <c r="AL179" s="32"/>
      <c r="AM179" s="32"/>
      <c r="AN179" s="32"/>
      <c r="AO179" s="32"/>
      <c r="AP179" s="32"/>
    </row>
    <row r="180" spans="1:42" ht="14.25" customHeight="1" x14ac:dyDescent="0.3">
      <c r="A180" s="32"/>
      <c r="B180" s="33"/>
      <c r="C180" s="34"/>
      <c r="D180" s="33"/>
      <c r="E180" s="33"/>
      <c r="F180" s="33"/>
      <c r="G180" s="33"/>
      <c r="H180" s="33"/>
      <c r="I180" s="33"/>
      <c r="J180" s="33"/>
      <c r="K180" s="33"/>
      <c r="L180" s="33"/>
      <c r="M180" s="33"/>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2"/>
      <c r="AL180" s="32"/>
      <c r="AM180" s="32"/>
      <c r="AN180" s="32"/>
      <c r="AO180" s="32"/>
      <c r="AP180" s="32"/>
    </row>
    <row r="181" spans="1:42" ht="14.25" customHeight="1" x14ac:dyDescent="0.3">
      <c r="A181" s="32"/>
      <c r="B181" s="33"/>
      <c r="C181" s="34"/>
      <c r="D181" s="33"/>
      <c r="E181" s="33"/>
      <c r="F181" s="33"/>
      <c r="G181" s="33"/>
      <c r="H181" s="33"/>
      <c r="I181" s="33"/>
      <c r="J181" s="33"/>
      <c r="K181" s="33"/>
      <c r="L181" s="33"/>
      <c r="M181" s="33"/>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2"/>
      <c r="AL181" s="32"/>
      <c r="AM181" s="32"/>
      <c r="AN181" s="32"/>
      <c r="AO181" s="32"/>
      <c r="AP181" s="32"/>
    </row>
    <row r="182" spans="1:42" ht="14.25" customHeight="1" x14ac:dyDescent="0.3">
      <c r="A182" s="32"/>
      <c r="B182" s="33"/>
      <c r="C182" s="34"/>
      <c r="D182" s="33"/>
      <c r="E182" s="33"/>
      <c r="F182" s="33"/>
      <c r="G182" s="33"/>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2"/>
      <c r="AL182" s="32"/>
      <c r="AM182" s="32"/>
      <c r="AN182" s="32"/>
      <c r="AO182" s="32"/>
      <c r="AP182" s="32"/>
    </row>
    <row r="183" spans="1:42" ht="14.25" customHeight="1" x14ac:dyDescent="0.3">
      <c r="A183" s="32"/>
      <c r="B183" s="33"/>
      <c r="C183" s="34"/>
      <c r="D183" s="33"/>
      <c r="E183" s="33"/>
      <c r="F183" s="33"/>
      <c r="G183" s="33"/>
      <c r="H183" s="33"/>
      <c r="I183" s="33"/>
      <c r="J183" s="33"/>
      <c r="K183" s="33"/>
      <c r="L183" s="33"/>
      <c r="M183" s="33"/>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2"/>
      <c r="AL183" s="32"/>
      <c r="AM183" s="32"/>
      <c r="AN183" s="32"/>
      <c r="AO183" s="32"/>
      <c r="AP183" s="32"/>
    </row>
    <row r="184" spans="1:42" ht="14.25" customHeight="1" x14ac:dyDescent="0.3">
      <c r="A184" s="32"/>
      <c r="B184" s="33"/>
      <c r="C184" s="34"/>
      <c r="D184" s="33"/>
      <c r="E184" s="33"/>
      <c r="F184" s="33"/>
      <c r="G184" s="33"/>
      <c r="H184" s="33"/>
      <c r="I184" s="33"/>
      <c r="J184" s="33"/>
      <c r="K184" s="33"/>
      <c r="L184" s="33"/>
      <c r="M184" s="33"/>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2"/>
      <c r="AL184" s="32"/>
      <c r="AM184" s="32"/>
      <c r="AN184" s="32"/>
      <c r="AO184" s="32"/>
      <c r="AP184" s="32"/>
    </row>
    <row r="185" spans="1:42" ht="14.25" customHeight="1" x14ac:dyDescent="0.3">
      <c r="A185" s="32"/>
      <c r="B185" s="33"/>
      <c r="C185" s="34"/>
      <c r="D185" s="33"/>
      <c r="E185" s="33"/>
      <c r="F185" s="33"/>
      <c r="G185" s="33"/>
      <c r="H185" s="33"/>
      <c r="I185" s="33"/>
      <c r="J185" s="33"/>
      <c r="K185" s="33"/>
      <c r="L185" s="33"/>
      <c r="M185" s="33"/>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2"/>
      <c r="AL185" s="32"/>
      <c r="AM185" s="32"/>
      <c r="AN185" s="32"/>
      <c r="AO185" s="32"/>
      <c r="AP185" s="32"/>
    </row>
    <row r="186" spans="1:42" ht="14.25" customHeight="1" x14ac:dyDescent="0.3">
      <c r="A186" s="32"/>
      <c r="B186" s="33"/>
      <c r="C186" s="34"/>
      <c r="D186" s="33"/>
      <c r="E186" s="33"/>
      <c r="F186" s="33"/>
      <c r="G186" s="33"/>
      <c r="H186" s="33"/>
      <c r="I186" s="33"/>
      <c r="J186" s="33"/>
      <c r="K186" s="33"/>
      <c r="L186" s="33"/>
      <c r="M186" s="33"/>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2"/>
      <c r="AL186" s="32"/>
      <c r="AM186" s="32"/>
      <c r="AN186" s="32"/>
      <c r="AO186" s="32"/>
      <c r="AP186" s="32"/>
    </row>
    <row r="187" spans="1:42" ht="14.25" customHeight="1" x14ac:dyDescent="0.3">
      <c r="A187" s="32"/>
      <c r="B187" s="33"/>
      <c r="C187" s="34"/>
      <c r="D187" s="33"/>
      <c r="E187" s="33"/>
      <c r="F187" s="33"/>
      <c r="G187" s="33"/>
      <c r="H187" s="33"/>
      <c r="I187" s="33"/>
      <c r="J187" s="33"/>
      <c r="K187" s="33"/>
      <c r="L187" s="33"/>
      <c r="M187" s="33"/>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2"/>
      <c r="AL187" s="32"/>
      <c r="AM187" s="32"/>
      <c r="AN187" s="32"/>
      <c r="AO187" s="32"/>
      <c r="AP187" s="32"/>
    </row>
    <row r="188" spans="1:42" ht="14.25" customHeight="1" x14ac:dyDescent="0.3">
      <c r="A188" s="32"/>
      <c r="B188" s="33"/>
      <c r="C188" s="34"/>
      <c r="D188" s="33"/>
      <c r="E188" s="33"/>
      <c r="F188" s="33"/>
      <c r="G188" s="33"/>
      <c r="H188" s="33"/>
      <c r="I188" s="33"/>
      <c r="J188" s="33"/>
      <c r="K188" s="33"/>
      <c r="L188" s="33"/>
      <c r="M188" s="33"/>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2"/>
      <c r="AL188" s="32"/>
      <c r="AM188" s="32"/>
      <c r="AN188" s="32"/>
      <c r="AO188" s="32"/>
      <c r="AP188" s="32"/>
    </row>
    <row r="189" spans="1:42" ht="14.25" customHeight="1" x14ac:dyDescent="0.3">
      <c r="A189" s="32"/>
      <c r="B189" s="33"/>
      <c r="C189" s="34"/>
      <c r="D189" s="33"/>
      <c r="E189" s="33"/>
      <c r="F189" s="33"/>
      <c r="G189" s="33"/>
      <c r="H189" s="33"/>
      <c r="I189" s="33"/>
      <c r="J189" s="33"/>
      <c r="K189" s="33"/>
      <c r="L189" s="33"/>
      <c r="M189" s="33"/>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2"/>
      <c r="AL189" s="32"/>
      <c r="AM189" s="32"/>
      <c r="AN189" s="32"/>
      <c r="AO189" s="32"/>
      <c r="AP189" s="32"/>
    </row>
    <row r="190" spans="1:42" ht="14.25" customHeight="1" x14ac:dyDescent="0.3">
      <c r="A190" s="32"/>
      <c r="B190" s="33"/>
      <c r="C190" s="34"/>
      <c r="D190" s="33"/>
      <c r="E190" s="33"/>
      <c r="F190" s="33"/>
      <c r="G190" s="33"/>
      <c r="H190" s="33"/>
      <c r="I190" s="33"/>
      <c r="J190" s="33"/>
      <c r="K190" s="33"/>
      <c r="L190" s="33"/>
      <c r="M190" s="33"/>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2"/>
      <c r="AL190" s="32"/>
      <c r="AM190" s="32"/>
      <c r="AN190" s="32"/>
      <c r="AO190" s="32"/>
      <c r="AP190" s="32"/>
    </row>
    <row r="191" spans="1:42" ht="14.25" customHeight="1" x14ac:dyDescent="0.3">
      <c r="A191" s="32"/>
      <c r="B191" s="33"/>
      <c r="C191" s="34"/>
      <c r="D191" s="33"/>
      <c r="E191" s="33"/>
      <c r="F191" s="33"/>
      <c r="G191" s="33"/>
      <c r="H191" s="33"/>
      <c r="I191" s="33"/>
      <c r="J191" s="33"/>
      <c r="K191" s="33"/>
      <c r="L191" s="33"/>
      <c r="M191" s="33"/>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2"/>
      <c r="AL191" s="32"/>
      <c r="AM191" s="32"/>
      <c r="AN191" s="32"/>
      <c r="AO191" s="32"/>
      <c r="AP191" s="32"/>
    </row>
    <row r="192" spans="1:42" ht="14.25" customHeight="1" x14ac:dyDescent="0.3">
      <c r="A192" s="32"/>
      <c r="B192" s="33"/>
      <c r="C192" s="34"/>
      <c r="D192" s="33"/>
      <c r="E192" s="33"/>
      <c r="F192" s="33"/>
      <c r="G192" s="33"/>
      <c r="H192" s="33"/>
      <c r="I192" s="33"/>
      <c r="J192" s="33"/>
      <c r="K192" s="33"/>
      <c r="L192" s="33"/>
      <c r="M192" s="33"/>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2"/>
      <c r="AL192" s="32"/>
      <c r="AM192" s="32"/>
      <c r="AN192" s="32"/>
      <c r="AO192" s="32"/>
      <c r="AP192" s="32"/>
    </row>
    <row r="193" spans="1:42" ht="14.25" customHeight="1" x14ac:dyDescent="0.3">
      <c r="A193" s="32"/>
      <c r="B193" s="33"/>
      <c r="C193" s="34"/>
      <c r="D193" s="33"/>
      <c r="E193" s="33"/>
      <c r="F193" s="33"/>
      <c r="G193" s="33"/>
      <c r="H193" s="33"/>
      <c r="I193" s="33"/>
      <c r="J193" s="33"/>
      <c r="K193" s="33"/>
      <c r="L193" s="33"/>
      <c r="M193" s="33"/>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2"/>
      <c r="AL193" s="32"/>
      <c r="AM193" s="32"/>
      <c r="AN193" s="32"/>
      <c r="AO193" s="32"/>
      <c r="AP193" s="32"/>
    </row>
    <row r="194" spans="1:42" ht="14.25" customHeight="1" x14ac:dyDescent="0.3">
      <c r="A194" s="32"/>
      <c r="B194" s="33"/>
      <c r="C194" s="34"/>
      <c r="D194" s="33"/>
      <c r="E194" s="33"/>
      <c r="F194" s="33"/>
      <c r="G194" s="33"/>
      <c r="H194" s="33"/>
      <c r="I194" s="33"/>
      <c r="J194" s="33"/>
      <c r="K194" s="33"/>
      <c r="L194" s="33"/>
      <c r="M194" s="33"/>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2"/>
      <c r="AL194" s="32"/>
      <c r="AM194" s="32"/>
      <c r="AN194" s="32"/>
      <c r="AO194" s="32"/>
      <c r="AP194" s="32"/>
    </row>
    <row r="195" spans="1:42" ht="14.25" customHeight="1" x14ac:dyDescent="0.3">
      <c r="A195" s="32"/>
      <c r="B195" s="33"/>
      <c r="C195" s="34"/>
      <c r="D195" s="33"/>
      <c r="E195" s="33"/>
      <c r="F195" s="33"/>
      <c r="G195" s="33"/>
      <c r="H195" s="33"/>
      <c r="I195" s="33"/>
      <c r="J195" s="33"/>
      <c r="K195" s="33"/>
      <c r="L195" s="33"/>
      <c r="M195" s="33"/>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2"/>
      <c r="AL195" s="32"/>
      <c r="AM195" s="32"/>
      <c r="AN195" s="32"/>
      <c r="AO195" s="32"/>
      <c r="AP195" s="32"/>
    </row>
    <row r="196" spans="1:42" ht="14.25" customHeight="1" x14ac:dyDescent="0.3">
      <c r="A196" s="32"/>
      <c r="B196" s="33"/>
      <c r="C196" s="34"/>
      <c r="D196" s="33"/>
      <c r="E196" s="33"/>
      <c r="F196" s="33"/>
      <c r="G196" s="33"/>
      <c r="H196" s="33"/>
      <c r="I196" s="33"/>
      <c r="J196" s="33"/>
      <c r="K196" s="33"/>
      <c r="L196" s="33"/>
      <c r="M196" s="33"/>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2"/>
      <c r="AL196" s="32"/>
      <c r="AM196" s="32"/>
      <c r="AN196" s="32"/>
      <c r="AO196" s="32"/>
      <c r="AP196" s="32"/>
    </row>
    <row r="197" spans="1:42" ht="14.25" customHeight="1" x14ac:dyDescent="0.3">
      <c r="A197" s="32"/>
      <c r="B197" s="33"/>
      <c r="C197" s="34"/>
      <c r="D197" s="33"/>
      <c r="E197" s="33"/>
      <c r="F197" s="33"/>
      <c r="G197" s="33"/>
      <c r="H197" s="33"/>
      <c r="I197" s="33"/>
      <c r="J197" s="33"/>
      <c r="K197" s="33"/>
      <c r="L197" s="33"/>
      <c r="M197" s="33"/>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2"/>
      <c r="AL197" s="32"/>
      <c r="AM197" s="32"/>
      <c r="AN197" s="32"/>
      <c r="AO197" s="32"/>
      <c r="AP197" s="32"/>
    </row>
    <row r="198" spans="1:42" ht="14.25" customHeight="1" x14ac:dyDescent="0.3">
      <c r="A198" s="32"/>
      <c r="B198" s="33"/>
      <c r="C198" s="34"/>
      <c r="D198" s="33"/>
      <c r="E198" s="33"/>
      <c r="F198" s="33"/>
      <c r="G198" s="33"/>
      <c r="H198" s="33"/>
      <c r="I198" s="33"/>
      <c r="J198" s="33"/>
      <c r="K198" s="33"/>
      <c r="L198" s="33"/>
      <c r="M198" s="33"/>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2"/>
      <c r="AL198" s="32"/>
      <c r="AM198" s="32"/>
      <c r="AN198" s="32"/>
      <c r="AO198" s="32"/>
      <c r="AP198" s="32"/>
    </row>
    <row r="199" spans="1:42" ht="14.25" customHeight="1" x14ac:dyDescent="0.3">
      <c r="A199" s="32"/>
      <c r="B199" s="33"/>
      <c r="C199" s="34"/>
      <c r="D199" s="33"/>
      <c r="E199" s="33"/>
      <c r="F199" s="33"/>
      <c r="G199" s="33"/>
      <c r="H199" s="33"/>
      <c r="I199" s="33"/>
      <c r="J199" s="33"/>
      <c r="K199" s="33"/>
      <c r="L199" s="33"/>
      <c r="M199" s="33"/>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2"/>
      <c r="AL199" s="32"/>
      <c r="AM199" s="32"/>
      <c r="AN199" s="32"/>
      <c r="AO199" s="32"/>
      <c r="AP199" s="32"/>
    </row>
    <row r="200" spans="1:42" ht="14.25" customHeight="1" x14ac:dyDescent="0.3">
      <c r="A200" s="32"/>
      <c r="B200" s="33"/>
      <c r="C200" s="34"/>
      <c r="D200" s="33"/>
      <c r="E200" s="33"/>
      <c r="F200" s="33"/>
      <c r="G200" s="33"/>
      <c r="H200" s="33"/>
      <c r="I200" s="33"/>
      <c r="J200" s="33"/>
      <c r="K200" s="33"/>
      <c r="L200" s="33"/>
      <c r="M200" s="33"/>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2"/>
      <c r="AL200" s="32"/>
      <c r="AM200" s="32"/>
      <c r="AN200" s="32"/>
      <c r="AO200" s="32"/>
      <c r="AP200" s="32"/>
    </row>
    <row r="201" spans="1:42" ht="14.25" customHeight="1" x14ac:dyDescent="0.3">
      <c r="A201" s="32"/>
      <c r="B201" s="33"/>
      <c r="C201" s="34"/>
      <c r="D201" s="33"/>
      <c r="E201" s="33"/>
      <c r="F201" s="33"/>
      <c r="G201" s="33"/>
      <c r="H201" s="33"/>
      <c r="I201" s="33"/>
      <c r="J201" s="33"/>
      <c r="K201" s="33"/>
      <c r="L201" s="33"/>
      <c r="M201" s="33"/>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2"/>
      <c r="AL201" s="32"/>
      <c r="AM201" s="32"/>
      <c r="AN201" s="32"/>
      <c r="AO201" s="32"/>
      <c r="AP201" s="32"/>
    </row>
    <row r="202" spans="1:42" ht="14.25" customHeight="1" x14ac:dyDescent="0.3">
      <c r="A202" s="32"/>
      <c r="B202" s="33"/>
      <c r="C202" s="34"/>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2"/>
      <c r="AL202" s="32"/>
      <c r="AM202" s="32"/>
      <c r="AN202" s="32"/>
      <c r="AO202" s="32"/>
      <c r="AP202" s="32"/>
    </row>
    <row r="203" spans="1:42" ht="14.25" customHeight="1" x14ac:dyDescent="0.3">
      <c r="A203" s="32"/>
      <c r="B203" s="33"/>
      <c r="C203" s="34"/>
      <c r="D203" s="33"/>
      <c r="E203" s="33"/>
      <c r="F203" s="33"/>
      <c r="G203" s="33"/>
      <c r="H203" s="33"/>
      <c r="I203" s="33"/>
      <c r="J203" s="33"/>
      <c r="K203" s="33"/>
      <c r="L203" s="33"/>
      <c r="M203" s="33"/>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2"/>
      <c r="AL203" s="32"/>
      <c r="AM203" s="32"/>
      <c r="AN203" s="32"/>
      <c r="AO203" s="32"/>
      <c r="AP203" s="32"/>
    </row>
    <row r="204" spans="1:42" ht="14.25" customHeight="1" x14ac:dyDescent="0.3">
      <c r="A204" s="32"/>
      <c r="B204" s="33"/>
      <c r="C204" s="34"/>
      <c r="D204" s="33"/>
      <c r="E204" s="33"/>
      <c r="F204" s="33"/>
      <c r="G204" s="33"/>
      <c r="H204" s="33"/>
      <c r="I204" s="33"/>
      <c r="J204" s="33"/>
      <c r="K204" s="33"/>
      <c r="L204" s="33"/>
      <c r="M204" s="33"/>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2"/>
      <c r="AL204" s="32"/>
      <c r="AM204" s="32"/>
      <c r="AN204" s="32"/>
      <c r="AO204" s="32"/>
      <c r="AP204" s="32"/>
    </row>
    <row r="205" spans="1:42" ht="14.25" customHeight="1" x14ac:dyDescent="0.3">
      <c r="A205" s="32"/>
      <c r="B205" s="33"/>
      <c r="C205" s="34"/>
      <c r="D205" s="33"/>
      <c r="E205" s="33"/>
      <c r="F205" s="33"/>
      <c r="G205" s="33"/>
      <c r="H205" s="33"/>
      <c r="I205" s="33"/>
      <c r="J205" s="33"/>
      <c r="K205" s="33"/>
      <c r="L205" s="33"/>
      <c r="M205" s="33"/>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2"/>
      <c r="AL205" s="32"/>
      <c r="AM205" s="32"/>
      <c r="AN205" s="32"/>
      <c r="AO205" s="32"/>
      <c r="AP205" s="32"/>
    </row>
    <row r="206" spans="1:42" ht="14.25" customHeight="1" x14ac:dyDescent="0.3">
      <c r="A206" s="32"/>
      <c r="B206" s="33"/>
      <c r="C206" s="34"/>
      <c r="D206" s="33"/>
      <c r="E206" s="33"/>
      <c r="F206" s="33"/>
      <c r="G206" s="33"/>
      <c r="H206" s="33"/>
      <c r="I206" s="33"/>
      <c r="J206" s="33"/>
      <c r="K206" s="33"/>
      <c r="L206" s="33"/>
      <c r="M206" s="33"/>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2"/>
      <c r="AL206" s="32"/>
      <c r="AM206" s="32"/>
      <c r="AN206" s="32"/>
      <c r="AO206" s="32"/>
      <c r="AP206" s="32"/>
    </row>
    <row r="207" spans="1:42" ht="14.25" customHeight="1" x14ac:dyDescent="0.3">
      <c r="A207" s="32"/>
      <c r="B207" s="33"/>
      <c r="C207" s="34"/>
      <c r="D207" s="33"/>
      <c r="E207" s="33"/>
      <c r="F207" s="33"/>
      <c r="G207" s="33"/>
      <c r="H207" s="33"/>
      <c r="I207" s="33"/>
      <c r="J207" s="33"/>
      <c r="K207" s="33"/>
      <c r="L207" s="33"/>
      <c r="M207" s="33"/>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2"/>
      <c r="AL207" s="32"/>
      <c r="AM207" s="32"/>
      <c r="AN207" s="32"/>
      <c r="AO207" s="32"/>
      <c r="AP207" s="32"/>
    </row>
    <row r="208" spans="1:42" ht="14.25" customHeight="1" x14ac:dyDescent="0.3">
      <c r="A208" s="32"/>
      <c r="B208" s="33"/>
      <c r="C208" s="34"/>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2"/>
      <c r="AL208" s="32"/>
      <c r="AM208" s="32"/>
      <c r="AN208" s="32"/>
      <c r="AO208" s="32"/>
      <c r="AP208" s="32"/>
    </row>
    <row r="209" spans="1:42" ht="14.25" customHeight="1" x14ac:dyDescent="0.3">
      <c r="A209" s="32"/>
      <c r="B209" s="33"/>
      <c r="C209" s="34"/>
      <c r="D209" s="33"/>
      <c r="E209" s="33"/>
      <c r="F209" s="33"/>
      <c r="G209" s="33"/>
      <c r="H209" s="33"/>
      <c r="I209" s="33"/>
      <c r="J209" s="33"/>
      <c r="K209" s="33"/>
      <c r="L209" s="33"/>
      <c r="M209" s="33"/>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2"/>
      <c r="AL209" s="32"/>
      <c r="AM209" s="32"/>
      <c r="AN209" s="32"/>
      <c r="AO209" s="32"/>
      <c r="AP209" s="32"/>
    </row>
    <row r="210" spans="1:42" ht="14.25" customHeight="1" x14ac:dyDescent="0.3">
      <c r="A210" s="32"/>
      <c r="B210" s="33"/>
      <c r="C210" s="34"/>
      <c r="D210" s="33"/>
      <c r="E210" s="33"/>
      <c r="F210" s="33"/>
      <c r="G210" s="33"/>
      <c r="H210" s="33"/>
      <c r="I210" s="33"/>
      <c r="J210" s="33"/>
      <c r="K210" s="33"/>
      <c r="L210" s="33"/>
      <c r="M210" s="33"/>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2"/>
      <c r="AL210" s="32"/>
      <c r="AM210" s="32"/>
      <c r="AN210" s="32"/>
      <c r="AO210" s="32"/>
      <c r="AP210" s="32"/>
    </row>
    <row r="211" spans="1:42" ht="14.25" customHeight="1" x14ac:dyDescent="0.3">
      <c r="A211" s="32"/>
      <c r="B211" s="33"/>
      <c r="C211" s="34"/>
      <c r="D211" s="33"/>
      <c r="E211" s="33"/>
      <c r="F211" s="33"/>
      <c r="G211" s="33"/>
      <c r="H211" s="33"/>
      <c r="I211" s="33"/>
      <c r="J211" s="33"/>
      <c r="K211" s="33"/>
      <c r="L211" s="33"/>
      <c r="M211" s="33"/>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2"/>
      <c r="AL211" s="32"/>
      <c r="AM211" s="32"/>
      <c r="AN211" s="32"/>
      <c r="AO211" s="32"/>
      <c r="AP211" s="32"/>
    </row>
    <row r="212" spans="1:42" ht="14.25" customHeight="1" x14ac:dyDescent="0.3">
      <c r="A212" s="32"/>
      <c r="B212" s="33"/>
      <c r="C212" s="34"/>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2"/>
      <c r="AL212" s="32"/>
      <c r="AM212" s="32"/>
      <c r="AN212" s="32"/>
      <c r="AO212" s="32"/>
      <c r="AP212" s="32"/>
    </row>
    <row r="213" spans="1:42" ht="14.25" customHeight="1" x14ac:dyDescent="0.3">
      <c r="A213" s="32"/>
      <c r="B213" s="33"/>
      <c r="C213" s="34"/>
      <c r="D213" s="33"/>
      <c r="E213" s="33"/>
      <c r="F213" s="33"/>
      <c r="G213" s="33"/>
      <c r="H213" s="33"/>
      <c r="I213" s="33"/>
      <c r="J213" s="33"/>
      <c r="K213" s="33"/>
      <c r="L213" s="33"/>
      <c r="M213" s="33"/>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2"/>
      <c r="AL213" s="32"/>
      <c r="AM213" s="32"/>
      <c r="AN213" s="32"/>
      <c r="AO213" s="32"/>
      <c r="AP213" s="32"/>
    </row>
    <row r="214" spans="1:42" ht="14.25" customHeight="1" x14ac:dyDescent="0.3">
      <c r="A214" s="32"/>
      <c r="B214" s="33"/>
      <c r="C214" s="34"/>
      <c r="D214" s="33"/>
      <c r="E214" s="33"/>
      <c r="F214" s="33"/>
      <c r="G214" s="33"/>
      <c r="H214" s="33"/>
      <c r="I214" s="33"/>
      <c r="J214" s="33"/>
      <c r="K214" s="33"/>
      <c r="L214" s="33"/>
      <c r="M214" s="33"/>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2"/>
      <c r="AL214" s="32"/>
      <c r="AM214" s="32"/>
      <c r="AN214" s="32"/>
      <c r="AO214" s="32"/>
      <c r="AP214" s="32"/>
    </row>
    <row r="215" spans="1:42" ht="14.25" customHeight="1" x14ac:dyDescent="0.3">
      <c r="A215" s="32"/>
      <c r="B215" s="33"/>
      <c r="C215" s="34"/>
      <c r="D215" s="33"/>
      <c r="E215" s="33"/>
      <c r="F215" s="33"/>
      <c r="G215" s="33"/>
      <c r="H215" s="33"/>
      <c r="I215" s="33"/>
      <c r="J215" s="33"/>
      <c r="K215" s="33"/>
      <c r="L215" s="33"/>
      <c r="M215" s="33"/>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2"/>
      <c r="AL215" s="32"/>
      <c r="AM215" s="32"/>
      <c r="AN215" s="32"/>
      <c r="AO215" s="32"/>
      <c r="AP215" s="32"/>
    </row>
    <row r="216" spans="1:42" ht="14.25" customHeight="1" x14ac:dyDescent="0.3">
      <c r="A216" s="32"/>
      <c r="B216" s="33"/>
      <c r="C216" s="34"/>
      <c r="D216" s="33"/>
      <c r="E216" s="33"/>
      <c r="F216" s="33"/>
      <c r="G216" s="33"/>
      <c r="H216" s="33"/>
      <c r="I216" s="33"/>
      <c r="J216" s="33"/>
      <c r="K216" s="33"/>
      <c r="L216" s="33"/>
      <c r="M216" s="33"/>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2"/>
      <c r="AL216" s="32"/>
      <c r="AM216" s="32"/>
      <c r="AN216" s="32"/>
      <c r="AO216" s="32"/>
      <c r="AP216" s="32"/>
    </row>
    <row r="217" spans="1:42" ht="14.25" customHeight="1" x14ac:dyDescent="0.3">
      <c r="A217" s="32"/>
      <c r="B217" s="33"/>
      <c r="C217" s="34"/>
      <c r="D217" s="33"/>
      <c r="E217" s="33"/>
      <c r="F217" s="33"/>
      <c r="G217" s="33"/>
      <c r="H217" s="33"/>
      <c r="I217" s="33"/>
      <c r="J217" s="33"/>
      <c r="K217" s="33"/>
      <c r="L217" s="33"/>
      <c r="M217" s="33"/>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2"/>
      <c r="AL217" s="32"/>
      <c r="AM217" s="32"/>
      <c r="AN217" s="32"/>
      <c r="AO217" s="32"/>
      <c r="AP217" s="32"/>
    </row>
    <row r="218" spans="1:42" ht="14.25" customHeight="1" x14ac:dyDescent="0.3">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row>
    <row r="219" spans="1:42" ht="14.25" customHeight="1" x14ac:dyDescent="0.3">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c r="AN219" s="32"/>
      <c r="AO219" s="32"/>
      <c r="AP219" s="32"/>
    </row>
    <row r="220" spans="1:42" ht="14.25" customHeight="1" x14ac:dyDescent="0.3">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c r="AN220" s="32"/>
      <c r="AO220" s="32"/>
      <c r="AP220" s="32"/>
    </row>
    <row r="221" spans="1:42" ht="14.25" customHeight="1" x14ac:dyDescent="0.3">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c r="AA221" s="32"/>
      <c r="AB221" s="32"/>
      <c r="AC221" s="32"/>
      <c r="AD221" s="32"/>
      <c r="AE221" s="32"/>
      <c r="AF221" s="32"/>
      <c r="AG221" s="32"/>
      <c r="AH221" s="32"/>
      <c r="AI221" s="32"/>
      <c r="AJ221" s="32"/>
      <c r="AK221" s="32"/>
      <c r="AL221" s="32"/>
      <c r="AM221" s="32"/>
      <c r="AN221" s="32"/>
      <c r="AO221" s="32"/>
      <c r="AP221" s="32"/>
    </row>
    <row r="222" spans="1:42" ht="14.25" customHeight="1" x14ac:dyDescent="0.3">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c r="AA222" s="32"/>
      <c r="AB222" s="32"/>
      <c r="AC222" s="32"/>
      <c r="AD222" s="32"/>
      <c r="AE222" s="32"/>
      <c r="AF222" s="32"/>
      <c r="AG222" s="32"/>
      <c r="AH222" s="32"/>
      <c r="AI222" s="32"/>
      <c r="AJ222" s="32"/>
      <c r="AK222" s="32"/>
      <c r="AL222" s="32"/>
      <c r="AM222" s="32"/>
      <c r="AN222" s="32"/>
      <c r="AO222" s="32"/>
      <c r="AP222" s="32"/>
    </row>
    <row r="223" spans="1:42" ht="14.25" customHeight="1" x14ac:dyDescent="0.3">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row>
    <row r="224" spans="1:42" ht="14.25" customHeight="1" x14ac:dyDescent="0.3">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c r="AA224" s="32"/>
      <c r="AB224" s="32"/>
      <c r="AC224" s="32"/>
      <c r="AD224" s="32"/>
      <c r="AE224" s="32"/>
      <c r="AF224" s="32"/>
      <c r="AG224" s="32"/>
      <c r="AH224" s="32"/>
      <c r="AI224" s="32"/>
      <c r="AJ224" s="32"/>
      <c r="AK224" s="32"/>
      <c r="AL224" s="32"/>
      <c r="AM224" s="32"/>
      <c r="AN224" s="32"/>
      <c r="AO224" s="32"/>
      <c r="AP224" s="32"/>
    </row>
    <row r="225" spans="1:42" ht="14.25" customHeight="1" x14ac:dyDescent="0.3">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c r="AA225" s="32"/>
      <c r="AB225" s="32"/>
      <c r="AC225" s="32"/>
      <c r="AD225" s="32"/>
      <c r="AE225" s="32"/>
      <c r="AF225" s="32"/>
      <c r="AG225" s="32"/>
      <c r="AH225" s="32"/>
      <c r="AI225" s="32"/>
      <c r="AJ225" s="32"/>
      <c r="AK225" s="32"/>
      <c r="AL225" s="32"/>
      <c r="AM225" s="32"/>
      <c r="AN225" s="32"/>
      <c r="AO225" s="32"/>
      <c r="AP225" s="32"/>
    </row>
    <row r="226" spans="1:42" ht="14.25" customHeight="1" x14ac:dyDescent="0.3">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c r="AA226" s="32"/>
      <c r="AB226" s="32"/>
      <c r="AC226" s="32"/>
      <c r="AD226" s="32"/>
      <c r="AE226" s="32"/>
      <c r="AF226" s="32"/>
      <c r="AG226" s="32"/>
      <c r="AH226" s="32"/>
      <c r="AI226" s="32"/>
      <c r="AJ226" s="32"/>
      <c r="AK226" s="32"/>
      <c r="AL226" s="32"/>
      <c r="AM226" s="32"/>
      <c r="AN226" s="32"/>
      <c r="AO226" s="32"/>
      <c r="AP226" s="32"/>
    </row>
    <row r="227" spans="1:42" ht="14.25" customHeight="1" x14ac:dyDescent="0.3">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c r="AA227" s="32"/>
      <c r="AB227" s="32"/>
      <c r="AC227" s="32"/>
      <c r="AD227" s="32"/>
      <c r="AE227" s="32"/>
      <c r="AF227" s="32"/>
      <c r="AG227" s="32"/>
      <c r="AH227" s="32"/>
      <c r="AI227" s="32"/>
      <c r="AJ227" s="32"/>
      <c r="AK227" s="32"/>
      <c r="AL227" s="32"/>
      <c r="AM227" s="32"/>
      <c r="AN227" s="32"/>
      <c r="AO227" s="32"/>
      <c r="AP227" s="32"/>
    </row>
    <row r="228" spans="1:42" ht="14.25" customHeight="1" x14ac:dyDescent="0.3">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c r="AA228" s="32"/>
      <c r="AB228" s="32"/>
      <c r="AC228" s="32"/>
      <c r="AD228" s="32"/>
      <c r="AE228" s="32"/>
      <c r="AF228" s="32"/>
      <c r="AG228" s="32"/>
      <c r="AH228" s="32"/>
      <c r="AI228" s="32"/>
      <c r="AJ228" s="32"/>
      <c r="AK228" s="32"/>
      <c r="AL228" s="32"/>
      <c r="AM228" s="32"/>
      <c r="AN228" s="32"/>
      <c r="AO228" s="32"/>
      <c r="AP228" s="32"/>
    </row>
    <row r="229" spans="1:42" ht="14.25" customHeight="1" x14ac:dyDescent="0.3">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c r="AA229" s="32"/>
      <c r="AB229" s="32"/>
      <c r="AC229" s="32"/>
      <c r="AD229" s="32"/>
      <c r="AE229" s="32"/>
      <c r="AF229" s="32"/>
      <c r="AG229" s="32"/>
      <c r="AH229" s="32"/>
      <c r="AI229" s="32"/>
      <c r="AJ229" s="32"/>
      <c r="AK229" s="32"/>
      <c r="AL229" s="32"/>
      <c r="AM229" s="32"/>
      <c r="AN229" s="32"/>
      <c r="AO229" s="32"/>
      <c r="AP229" s="32"/>
    </row>
    <row r="230" spans="1:42" ht="14.25" customHeight="1" x14ac:dyDescent="0.3">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c r="AA230" s="32"/>
      <c r="AB230" s="32"/>
      <c r="AC230" s="32"/>
      <c r="AD230" s="32"/>
      <c r="AE230" s="32"/>
      <c r="AF230" s="32"/>
      <c r="AG230" s="32"/>
      <c r="AH230" s="32"/>
      <c r="AI230" s="32"/>
      <c r="AJ230" s="32"/>
      <c r="AK230" s="32"/>
      <c r="AL230" s="32"/>
      <c r="AM230" s="32"/>
      <c r="AN230" s="32"/>
      <c r="AO230" s="32"/>
      <c r="AP230" s="32"/>
    </row>
    <row r="231" spans="1:42" ht="14.25" customHeight="1" x14ac:dyDescent="0.3">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c r="AA231" s="32"/>
      <c r="AB231" s="32"/>
      <c r="AC231" s="32"/>
      <c r="AD231" s="32"/>
      <c r="AE231" s="32"/>
      <c r="AF231" s="32"/>
      <c r="AG231" s="32"/>
      <c r="AH231" s="32"/>
      <c r="AI231" s="32"/>
      <c r="AJ231" s="32"/>
      <c r="AK231" s="32"/>
      <c r="AL231" s="32"/>
      <c r="AM231" s="32"/>
      <c r="AN231" s="32"/>
      <c r="AO231" s="32"/>
      <c r="AP231" s="32"/>
    </row>
    <row r="232" spans="1:42" ht="14.25" customHeight="1" x14ac:dyDescent="0.3">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c r="AA232" s="32"/>
      <c r="AB232" s="32"/>
      <c r="AC232" s="32"/>
      <c r="AD232" s="32"/>
      <c r="AE232" s="32"/>
      <c r="AF232" s="32"/>
      <c r="AG232" s="32"/>
      <c r="AH232" s="32"/>
      <c r="AI232" s="32"/>
      <c r="AJ232" s="32"/>
      <c r="AK232" s="32"/>
      <c r="AL232" s="32"/>
      <c r="AM232" s="32"/>
      <c r="AN232" s="32"/>
      <c r="AO232" s="32"/>
      <c r="AP232" s="32"/>
    </row>
    <row r="233" spans="1:42" ht="14.25" customHeight="1" x14ac:dyDescent="0.3">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c r="AA233" s="32"/>
      <c r="AB233" s="32"/>
      <c r="AC233" s="32"/>
      <c r="AD233" s="32"/>
      <c r="AE233" s="32"/>
      <c r="AF233" s="32"/>
      <c r="AG233" s="32"/>
      <c r="AH233" s="32"/>
      <c r="AI233" s="32"/>
      <c r="AJ233" s="32"/>
      <c r="AK233" s="32"/>
      <c r="AL233" s="32"/>
      <c r="AM233" s="32"/>
      <c r="AN233" s="32"/>
      <c r="AO233" s="32"/>
      <c r="AP233" s="32"/>
    </row>
    <row r="234" spans="1:42" ht="14.25" customHeight="1" x14ac:dyDescent="0.3">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c r="AA234" s="32"/>
      <c r="AB234" s="32"/>
      <c r="AC234" s="32"/>
      <c r="AD234" s="32"/>
      <c r="AE234" s="32"/>
      <c r="AF234" s="32"/>
      <c r="AG234" s="32"/>
      <c r="AH234" s="32"/>
      <c r="AI234" s="32"/>
      <c r="AJ234" s="32"/>
      <c r="AK234" s="32"/>
      <c r="AL234" s="32"/>
      <c r="AM234" s="32"/>
      <c r="AN234" s="32"/>
      <c r="AO234" s="32"/>
      <c r="AP234" s="32"/>
    </row>
    <row r="235" spans="1:42" ht="14.25" customHeight="1" x14ac:dyDescent="0.3">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c r="AA235" s="32"/>
      <c r="AB235" s="32"/>
      <c r="AC235" s="32"/>
      <c r="AD235" s="32"/>
      <c r="AE235" s="32"/>
      <c r="AF235" s="32"/>
      <c r="AG235" s="32"/>
      <c r="AH235" s="32"/>
      <c r="AI235" s="32"/>
      <c r="AJ235" s="32"/>
      <c r="AK235" s="32"/>
      <c r="AL235" s="32"/>
      <c r="AM235" s="32"/>
      <c r="AN235" s="32"/>
      <c r="AO235" s="32"/>
      <c r="AP235" s="32"/>
    </row>
    <row r="236" spans="1:42" ht="14.25" customHeight="1" x14ac:dyDescent="0.3">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c r="AA236" s="32"/>
      <c r="AB236" s="32"/>
      <c r="AC236" s="32"/>
      <c r="AD236" s="32"/>
      <c r="AE236" s="32"/>
      <c r="AF236" s="32"/>
      <c r="AG236" s="32"/>
      <c r="AH236" s="32"/>
      <c r="AI236" s="32"/>
      <c r="AJ236" s="32"/>
      <c r="AK236" s="32"/>
      <c r="AL236" s="32"/>
      <c r="AM236" s="32"/>
      <c r="AN236" s="32"/>
      <c r="AO236" s="32"/>
      <c r="AP236" s="32"/>
    </row>
    <row r="237" spans="1:42" ht="14.25" customHeight="1" x14ac:dyDescent="0.3">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c r="AA237" s="32"/>
      <c r="AB237" s="32"/>
      <c r="AC237" s="32"/>
      <c r="AD237" s="32"/>
      <c r="AE237" s="32"/>
      <c r="AF237" s="32"/>
      <c r="AG237" s="32"/>
      <c r="AH237" s="32"/>
      <c r="AI237" s="32"/>
      <c r="AJ237" s="32"/>
      <c r="AK237" s="32"/>
      <c r="AL237" s="32"/>
      <c r="AM237" s="32"/>
      <c r="AN237" s="32"/>
      <c r="AO237" s="32"/>
      <c r="AP237" s="32"/>
    </row>
    <row r="238" spans="1:42" ht="14.25" customHeight="1" x14ac:dyDescent="0.3">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c r="AA238" s="32"/>
      <c r="AB238" s="32"/>
      <c r="AC238" s="32"/>
      <c r="AD238" s="32"/>
      <c r="AE238" s="32"/>
      <c r="AF238" s="32"/>
      <c r="AG238" s="32"/>
      <c r="AH238" s="32"/>
      <c r="AI238" s="32"/>
      <c r="AJ238" s="32"/>
      <c r="AK238" s="32"/>
      <c r="AL238" s="32"/>
      <c r="AM238" s="32"/>
      <c r="AN238" s="32"/>
      <c r="AO238" s="32"/>
      <c r="AP238" s="32"/>
    </row>
    <row r="239" spans="1:42" ht="14.25" customHeight="1" x14ac:dyDescent="0.3">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c r="AA239" s="32"/>
      <c r="AB239" s="32"/>
      <c r="AC239" s="32"/>
      <c r="AD239" s="32"/>
      <c r="AE239" s="32"/>
      <c r="AF239" s="32"/>
      <c r="AG239" s="32"/>
      <c r="AH239" s="32"/>
      <c r="AI239" s="32"/>
      <c r="AJ239" s="32"/>
      <c r="AK239" s="32"/>
      <c r="AL239" s="32"/>
      <c r="AM239" s="32"/>
      <c r="AN239" s="32"/>
      <c r="AO239" s="32"/>
      <c r="AP239" s="32"/>
    </row>
    <row r="240" spans="1:42" ht="14.25" customHeight="1" x14ac:dyDescent="0.3">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c r="AA240" s="32"/>
      <c r="AB240" s="32"/>
      <c r="AC240" s="32"/>
      <c r="AD240" s="32"/>
      <c r="AE240" s="32"/>
      <c r="AF240" s="32"/>
      <c r="AG240" s="32"/>
      <c r="AH240" s="32"/>
      <c r="AI240" s="32"/>
      <c r="AJ240" s="32"/>
      <c r="AK240" s="32"/>
      <c r="AL240" s="32"/>
      <c r="AM240" s="32"/>
      <c r="AN240" s="32"/>
      <c r="AO240" s="32"/>
      <c r="AP240" s="32"/>
    </row>
    <row r="241" spans="1:42" ht="14.25" customHeight="1" x14ac:dyDescent="0.3">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c r="AA241" s="32"/>
      <c r="AB241" s="32"/>
      <c r="AC241" s="32"/>
      <c r="AD241" s="32"/>
      <c r="AE241" s="32"/>
      <c r="AF241" s="32"/>
      <c r="AG241" s="32"/>
      <c r="AH241" s="32"/>
      <c r="AI241" s="32"/>
      <c r="AJ241" s="32"/>
      <c r="AK241" s="32"/>
      <c r="AL241" s="32"/>
      <c r="AM241" s="32"/>
      <c r="AN241" s="32"/>
      <c r="AO241" s="32"/>
      <c r="AP241" s="32"/>
    </row>
    <row r="242" spans="1:42" ht="14.25" customHeight="1" x14ac:dyDescent="0.3">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c r="AA242" s="32"/>
      <c r="AB242" s="32"/>
      <c r="AC242" s="32"/>
      <c r="AD242" s="32"/>
      <c r="AE242" s="32"/>
      <c r="AF242" s="32"/>
      <c r="AG242" s="32"/>
      <c r="AH242" s="32"/>
      <c r="AI242" s="32"/>
      <c r="AJ242" s="32"/>
      <c r="AK242" s="32"/>
      <c r="AL242" s="32"/>
      <c r="AM242" s="32"/>
      <c r="AN242" s="32"/>
      <c r="AO242" s="32"/>
      <c r="AP242" s="32"/>
    </row>
    <row r="243" spans="1:42" ht="14.25" customHeight="1" x14ac:dyDescent="0.3">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c r="AA243" s="32"/>
      <c r="AB243" s="32"/>
      <c r="AC243" s="32"/>
      <c r="AD243" s="32"/>
      <c r="AE243" s="32"/>
      <c r="AF243" s="32"/>
      <c r="AG243" s="32"/>
      <c r="AH243" s="32"/>
      <c r="AI243" s="32"/>
      <c r="AJ243" s="32"/>
      <c r="AK243" s="32"/>
      <c r="AL243" s="32"/>
      <c r="AM243" s="32"/>
      <c r="AN243" s="32"/>
      <c r="AO243" s="32"/>
      <c r="AP243" s="32"/>
    </row>
    <row r="244" spans="1:42" ht="14.25" customHeight="1" x14ac:dyDescent="0.3">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c r="AP244" s="32"/>
    </row>
    <row r="245" spans="1:42" ht="14.25" customHeight="1" x14ac:dyDescent="0.3">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c r="AA245" s="32"/>
      <c r="AB245" s="32"/>
      <c r="AC245" s="32"/>
      <c r="AD245" s="32"/>
      <c r="AE245" s="32"/>
      <c r="AF245" s="32"/>
      <c r="AG245" s="32"/>
      <c r="AH245" s="32"/>
      <c r="AI245" s="32"/>
      <c r="AJ245" s="32"/>
      <c r="AK245" s="32"/>
      <c r="AL245" s="32"/>
      <c r="AM245" s="32"/>
      <c r="AN245" s="32"/>
      <c r="AO245" s="32"/>
      <c r="AP245" s="32"/>
    </row>
    <row r="246" spans="1:42" ht="14.25" customHeight="1" x14ac:dyDescent="0.3">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c r="AA246" s="32"/>
      <c r="AB246" s="32"/>
      <c r="AC246" s="32"/>
      <c r="AD246" s="32"/>
      <c r="AE246" s="32"/>
      <c r="AF246" s="32"/>
      <c r="AG246" s="32"/>
      <c r="AH246" s="32"/>
      <c r="AI246" s="32"/>
      <c r="AJ246" s="32"/>
      <c r="AK246" s="32"/>
      <c r="AL246" s="32"/>
      <c r="AM246" s="32"/>
      <c r="AN246" s="32"/>
      <c r="AO246" s="32"/>
      <c r="AP246" s="32"/>
    </row>
    <row r="247" spans="1:42" ht="14.25" customHeight="1" x14ac:dyDescent="0.3">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c r="AA247" s="32"/>
      <c r="AB247" s="32"/>
      <c r="AC247" s="32"/>
      <c r="AD247" s="32"/>
      <c r="AE247" s="32"/>
      <c r="AF247" s="32"/>
      <c r="AG247" s="32"/>
      <c r="AH247" s="32"/>
      <c r="AI247" s="32"/>
      <c r="AJ247" s="32"/>
      <c r="AK247" s="32"/>
      <c r="AL247" s="32"/>
      <c r="AM247" s="32"/>
      <c r="AN247" s="32"/>
      <c r="AO247" s="32"/>
      <c r="AP247" s="32"/>
    </row>
    <row r="248" spans="1:42" ht="14.25" customHeight="1" x14ac:dyDescent="0.3">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c r="AA248" s="32"/>
      <c r="AB248" s="32"/>
      <c r="AC248" s="32"/>
      <c r="AD248" s="32"/>
      <c r="AE248" s="32"/>
      <c r="AF248" s="32"/>
      <c r="AG248" s="32"/>
      <c r="AH248" s="32"/>
      <c r="AI248" s="32"/>
      <c r="AJ248" s="32"/>
      <c r="AK248" s="32"/>
      <c r="AL248" s="32"/>
      <c r="AM248" s="32"/>
      <c r="AN248" s="32"/>
      <c r="AO248" s="32"/>
      <c r="AP248" s="32"/>
    </row>
    <row r="249" spans="1:42" ht="14.25" customHeight="1" x14ac:dyDescent="0.3">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c r="AA249" s="32"/>
      <c r="AB249" s="32"/>
      <c r="AC249" s="32"/>
      <c r="AD249" s="32"/>
      <c r="AE249" s="32"/>
      <c r="AF249" s="32"/>
      <c r="AG249" s="32"/>
      <c r="AH249" s="32"/>
      <c r="AI249" s="32"/>
      <c r="AJ249" s="32"/>
      <c r="AK249" s="32"/>
      <c r="AL249" s="32"/>
      <c r="AM249" s="32"/>
      <c r="AN249" s="32"/>
      <c r="AO249" s="32"/>
      <c r="AP249" s="32"/>
    </row>
    <row r="250" spans="1:42" ht="14.25" customHeight="1" x14ac:dyDescent="0.3">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c r="AA250" s="32"/>
      <c r="AB250" s="32"/>
      <c r="AC250" s="32"/>
      <c r="AD250" s="32"/>
      <c r="AE250" s="32"/>
      <c r="AF250" s="32"/>
      <c r="AG250" s="32"/>
      <c r="AH250" s="32"/>
      <c r="AI250" s="32"/>
      <c r="AJ250" s="32"/>
      <c r="AK250" s="32"/>
      <c r="AL250" s="32"/>
      <c r="AM250" s="32"/>
      <c r="AN250" s="32"/>
      <c r="AO250" s="32"/>
      <c r="AP250" s="32"/>
    </row>
    <row r="251" spans="1:42" ht="14.25" customHeight="1" x14ac:dyDescent="0.3">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c r="AA251" s="32"/>
      <c r="AB251" s="32"/>
      <c r="AC251" s="32"/>
      <c r="AD251" s="32"/>
      <c r="AE251" s="32"/>
      <c r="AF251" s="32"/>
      <c r="AG251" s="32"/>
      <c r="AH251" s="32"/>
      <c r="AI251" s="32"/>
      <c r="AJ251" s="32"/>
      <c r="AK251" s="32"/>
      <c r="AL251" s="32"/>
      <c r="AM251" s="32"/>
      <c r="AN251" s="32"/>
      <c r="AO251" s="32"/>
      <c r="AP251" s="32"/>
    </row>
    <row r="252" spans="1:42" ht="14.25" customHeight="1" x14ac:dyDescent="0.3">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c r="AA252" s="32"/>
      <c r="AB252" s="32"/>
      <c r="AC252" s="32"/>
      <c r="AD252" s="32"/>
      <c r="AE252" s="32"/>
      <c r="AF252" s="32"/>
      <c r="AG252" s="32"/>
      <c r="AH252" s="32"/>
      <c r="AI252" s="32"/>
      <c r="AJ252" s="32"/>
      <c r="AK252" s="32"/>
      <c r="AL252" s="32"/>
      <c r="AM252" s="32"/>
      <c r="AN252" s="32"/>
      <c r="AO252" s="32"/>
      <c r="AP252" s="32"/>
    </row>
    <row r="253" spans="1:42" ht="14.25" customHeight="1" x14ac:dyDescent="0.3">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c r="AA253" s="32"/>
      <c r="AB253" s="32"/>
      <c r="AC253" s="32"/>
      <c r="AD253" s="32"/>
      <c r="AE253" s="32"/>
      <c r="AF253" s="32"/>
      <c r="AG253" s="32"/>
      <c r="AH253" s="32"/>
      <c r="AI253" s="32"/>
      <c r="AJ253" s="32"/>
      <c r="AK253" s="32"/>
      <c r="AL253" s="32"/>
      <c r="AM253" s="32"/>
      <c r="AN253" s="32"/>
      <c r="AO253" s="32"/>
      <c r="AP253" s="32"/>
    </row>
    <row r="254" spans="1:42" ht="14.25" customHeight="1" x14ac:dyDescent="0.3">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c r="AA254" s="32"/>
      <c r="AB254" s="32"/>
      <c r="AC254" s="32"/>
      <c r="AD254" s="32"/>
      <c r="AE254" s="32"/>
      <c r="AF254" s="32"/>
      <c r="AG254" s="32"/>
      <c r="AH254" s="32"/>
      <c r="AI254" s="32"/>
      <c r="AJ254" s="32"/>
      <c r="AK254" s="32"/>
      <c r="AL254" s="32"/>
      <c r="AM254" s="32"/>
      <c r="AN254" s="32"/>
      <c r="AO254" s="32"/>
      <c r="AP254" s="32"/>
    </row>
    <row r="255" spans="1:42" ht="14.25" customHeight="1" x14ac:dyDescent="0.3">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c r="AA255" s="32"/>
      <c r="AB255" s="32"/>
      <c r="AC255" s="32"/>
      <c r="AD255" s="32"/>
      <c r="AE255" s="32"/>
      <c r="AF255" s="32"/>
      <c r="AG255" s="32"/>
      <c r="AH255" s="32"/>
      <c r="AI255" s="32"/>
      <c r="AJ255" s="32"/>
      <c r="AK255" s="32"/>
      <c r="AL255" s="32"/>
      <c r="AM255" s="32"/>
      <c r="AN255" s="32"/>
      <c r="AO255" s="32"/>
      <c r="AP255" s="32"/>
    </row>
    <row r="256" spans="1:42" ht="14.25" customHeight="1" x14ac:dyDescent="0.3">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c r="AA256" s="32"/>
      <c r="AB256" s="32"/>
      <c r="AC256" s="32"/>
      <c r="AD256" s="32"/>
      <c r="AE256" s="32"/>
      <c r="AF256" s="32"/>
      <c r="AG256" s="32"/>
      <c r="AH256" s="32"/>
      <c r="AI256" s="32"/>
      <c r="AJ256" s="32"/>
      <c r="AK256" s="32"/>
      <c r="AL256" s="32"/>
      <c r="AM256" s="32"/>
      <c r="AN256" s="32"/>
      <c r="AO256" s="32"/>
      <c r="AP256" s="32"/>
    </row>
    <row r="257" spans="1:42" ht="14.25" customHeight="1" x14ac:dyDescent="0.3">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c r="AA257" s="32"/>
      <c r="AB257" s="32"/>
      <c r="AC257" s="32"/>
      <c r="AD257" s="32"/>
      <c r="AE257" s="32"/>
      <c r="AF257" s="32"/>
      <c r="AG257" s="32"/>
      <c r="AH257" s="32"/>
      <c r="AI257" s="32"/>
      <c r="AJ257" s="32"/>
      <c r="AK257" s="32"/>
      <c r="AL257" s="32"/>
      <c r="AM257" s="32"/>
      <c r="AN257" s="32"/>
      <c r="AO257" s="32"/>
      <c r="AP257" s="32"/>
    </row>
    <row r="258" spans="1:42" ht="14.25" customHeight="1" x14ac:dyDescent="0.3">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c r="AA258" s="32"/>
      <c r="AB258" s="32"/>
      <c r="AC258" s="32"/>
      <c r="AD258" s="32"/>
      <c r="AE258" s="32"/>
      <c r="AF258" s="32"/>
      <c r="AG258" s="32"/>
      <c r="AH258" s="32"/>
      <c r="AI258" s="32"/>
      <c r="AJ258" s="32"/>
      <c r="AK258" s="32"/>
      <c r="AL258" s="32"/>
      <c r="AM258" s="32"/>
      <c r="AN258" s="32"/>
      <c r="AO258" s="32"/>
      <c r="AP258" s="32"/>
    </row>
    <row r="259" spans="1:42" ht="14.25" customHeight="1" x14ac:dyDescent="0.3">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c r="AA259" s="32"/>
      <c r="AB259" s="32"/>
      <c r="AC259" s="32"/>
      <c r="AD259" s="32"/>
      <c r="AE259" s="32"/>
      <c r="AF259" s="32"/>
      <c r="AG259" s="32"/>
      <c r="AH259" s="32"/>
      <c r="AI259" s="32"/>
      <c r="AJ259" s="32"/>
      <c r="AK259" s="32"/>
      <c r="AL259" s="32"/>
      <c r="AM259" s="32"/>
      <c r="AN259" s="32"/>
      <c r="AO259" s="32"/>
      <c r="AP259" s="32"/>
    </row>
    <row r="260" spans="1:42" ht="14.25" customHeight="1" x14ac:dyDescent="0.3">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c r="AA260" s="32"/>
      <c r="AB260" s="32"/>
      <c r="AC260" s="32"/>
      <c r="AD260" s="32"/>
      <c r="AE260" s="32"/>
      <c r="AF260" s="32"/>
      <c r="AG260" s="32"/>
      <c r="AH260" s="32"/>
      <c r="AI260" s="32"/>
      <c r="AJ260" s="32"/>
      <c r="AK260" s="32"/>
      <c r="AL260" s="32"/>
      <c r="AM260" s="32"/>
      <c r="AN260" s="32"/>
      <c r="AO260" s="32"/>
      <c r="AP260" s="32"/>
    </row>
    <row r="261" spans="1:42" ht="14.25" customHeight="1" x14ac:dyDescent="0.3">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c r="AA261" s="32"/>
      <c r="AB261" s="32"/>
      <c r="AC261" s="32"/>
      <c r="AD261" s="32"/>
      <c r="AE261" s="32"/>
      <c r="AF261" s="32"/>
      <c r="AG261" s="32"/>
      <c r="AH261" s="32"/>
      <c r="AI261" s="32"/>
      <c r="AJ261" s="32"/>
      <c r="AK261" s="32"/>
      <c r="AL261" s="32"/>
      <c r="AM261" s="32"/>
      <c r="AN261" s="32"/>
      <c r="AO261" s="32"/>
      <c r="AP261" s="32"/>
    </row>
    <row r="262" spans="1:42" ht="14.25" customHeight="1" x14ac:dyDescent="0.3">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c r="AA262" s="32"/>
      <c r="AB262" s="32"/>
      <c r="AC262" s="32"/>
      <c r="AD262" s="32"/>
      <c r="AE262" s="32"/>
      <c r="AF262" s="32"/>
      <c r="AG262" s="32"/>
      <c r="AH262" s="32"/>
      <c r="AI262" s="32"/>
      <c r="AJ262" s="32"/>
      <c r="AK262" s="32"/>
      <c r="AL262" s="32"/>
      <c r="AM262" s="32"/>
      <c r="AN262" s="32"/>
      <c r="AO262" s="32"/>
      <c r="AP262" s="32"/>
    </row>
    <row r="263" spans="1:42" ht="14.25" customHeight="1" x14ac:dyDescent="0.3">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row>
    <row r="264" spans="1:42" ht="14.25" customHeight="1" x14ac:dyDescent="0.3">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c r="AA264" s="32"/>
      <c r="AB264" s="32"/>
      <c r="AC264" s="32"/>
      <c r="AD264" s="32"/>
      <c r="AE264" s="32"/>
      <c r="AF264" s="32"/>
      <c r="AG264" s="32"/>
      <c r="AH264" s="32"/>
      <c r="AI264" s="32"/>
      <c r="AJ264" s="32"/>
      <c r="AK264" s="32"/>
      <c r="AL264" s="32"/>
      <c r="AM264" s="32"/>
      <c r="AN264" s="32"/>
      <c r="AO264" s="32"/>
      <c r="AP264" s="32"/>
    </row>
    <row r="265" spans="1:42" ht="14.25" customHeight="1" x14ac:dyDescent="0.3">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c r="AA265" s="32"/>
      <c r="AB265" s="32"/>
      <c r="AC265" s="32"/>
      <c r="AD265" s="32"/>
      <c r="AE265" s="32"/>
      <c r="AF265" s="32"/>
      <c r="AG265" s="32"/>
      <c r="AH265" s="32"/>
      <c r="AI265" s="32"/>
      <c r="AJ265" s="32"/>
      <c r="AK265" s="32"/>
      <c r="AL265" s="32"/>
      <c r="AM265" s="32"/>
      <c r="AN265" s="32"/>
      <c r="AO265" s="32"/>
      <c r="AP265" s="32"/>
    </row>
    <row r="266" spans="1:42" ht="14.25" customHeight="1" x14ac:dyDescent="0.3">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c r="AA266" s="32"/>
      <c r="AB266" s="32"/>
      <c r="AC266" s="32"/>
      <c r="AD266" s="32"/>
      <c r="AE266" s="32"/>
      <c r="AF266" s="32"/>
      <c r="AG266" s="32"/>
      <c r="AH266" s="32"/>
      <c r="AI266" s="32"/>
      <c r="AJ266" s="32"/>
      <c r="AK266" s="32"/>
      <c r="AL266" s="32"/>
      <c r="AM266" s="32"/>
      <c r="AN266" s="32"/>
      <c r="AO266" s="32"/>
      <c r="AP266" s="32"/>
    </row>
    <row r="267" spans="1:42" ht="14.25" customHeight="1" x14ac:dyDescent="0.3">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c r="AA267" s="32"/>
      <c r="AB267" s="32"/>
      <c r="AC267" s="32"/>
      <c r="AD267" s="32"/>
      <c r="AE267" s="32"/>
      <c r="AF267" s="32"/>
      <c r="AG267" s="32"/>
      <c r="AH267" s="32"/>
      <c r="AI267" s="32"/>
      <c r="AJ267" s="32"/>
      <c r="AK267" s="32"/>
      <c r="AL267" s="32"/>
      <c r="AM267" s="32"/>
      <c r="AN267" s="32"/>
      <c r="AO267" s="32"/>
      <c r="AP267" s="32"/>
    </row>
    <row r="268" spans="1:42" ht="14.25" customHeight="1" x14ac:dyDescent="0.3">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c r="AA268" s="32"/>
      <c r="AB268" s="32"/>
      <c r="AC268" s="32"/>
      <c r="AD268" s="32"/>
      <c r="AE268" s="32"/>
      <c r="AF268" s="32"/>
      <c r="AG268" s="32"/>
      <c r="AH268" s="32"/>
      <c r="AI268" s="32"/>
      <c r="AJ268" s="32"/>
      <c r="AK268" s="32"/>
      <c r="AL268" s="32"/>
      <c r="AM268" s="32"/>
      <c r="AN268" s="32"/>
      <c r="AO268" s="32"/>
      <c r="AP268" s="32"/>
    </row>
    <row r="269" spans="1:42" ht="14.25" customHeight="1" x14ac:dyDescent="0.3">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c r="AP269" s="32"/>
    </row>
    <row r="270" spans="1:42" ht="14.25" customHeight="1" x14ac:dyDescent="0.3">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c r="AA270" s="32"/>
      <c r="AB270" s="32"/>
      <c r="AC270" s="32"/>
      <c r="AD270" s="32"/>
      <c r="AE270" s="32"/>
      <c r="AF270" s="32"/>
      <c r="AG270" s="32"/>
      <c r="AH270" s="32"/>
      <c r="AI270" s="32"/>
      <c r="AJ270" s="32"/>
      <c r="AK270" s="32"/>
      <c r="AL270" s="32"/>
      <c r="AM270" s="32"/>
      <c r="AN270" s="32"/>
      <c r="AO270" s="32"/>
      <c r="AP270" s="32"/>
    </row>
    <row r="271" spans="1:42" ht="14.25" customHeight="1" x14ac:dyDescent="0.3">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c r="AA271" s="32"/>
      <c r="AB271" s="32"/>
      <c r="AC271" s="32"/>
      <c r="AD271" s="32"/>
      <c r="AE271" s="32"/>
      <c r="AF271" s="32"/>
      <c r="AG271" s="32"/>
      <c r="AH271" s="32"/>
      <c r="AI271" s="32"/>
      <c r="AJ271" s="32"/>
      <c r="AK271" s="32"/>
      <c r="AL271" s="32"/>
      <c r="AM271" s="32"/>
      <c r="AN271" s="32"/>
      <c r="AO271" s="32"/>
      <c r="AP271" s="32"/>
    </row>
    <row r="272" spans="1:42" ht="14.25" customHeight="1" x14ac:dyDescent="0.3">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c r="AA272" s="32"/>
      <c r="AB272" s="32"/>
      <c r="AC272" s="32"/>
      <c r="AD272" s="32"/>
      <c r="AE272" s="32"/>
      <c r="AF272" s="32"/>
      <c r="AG272" s="32"/>
      <c r="AH272" s="32"/>
      <c r="AI272" s="32"/>
      <c r="AJ272" s="32"/>
      <c r="AK272" s="32"/>
      <c r="AL272" s="32"/>
      <c r="AM272" s="32"/>
      <c r="AN272" s="32"/>
      <c r="AO272" s="32"/>
      <c r="AP272" s="32"/>
    </row>
    <row r="273" spans="1:42" ht="14.25" customHeight="1" x14ac:dyDescent="0.3">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c r="AA273" s="32"/>
      <c r="AB273" s="32"/>
      <c r="AC273" s="32"/>
      <c r="AD273" s="32"/>
      <c r="AE273" s="32"/>
      <c r="AF273" s="32"/>
      <c r="AG273" s="32"/>
      <c r="AH273" s="32"/>
      <c r="AI273" s="32"/>
      <c r="AJ273" s="32"/>
      <c r="AK273" s="32"/>
      <c r="AL273" s="32"/>
      <c r="AM273" s="32"/>
      <c r="AN273" s="32"/>
      <c r="AO273" s="32"/>
      <c r="AP273" s="32"/>
    </row>
    <row r="274" spans="1:42" ht="14.25" customHeight="1" x14ac:dyDescent="0.3">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c r="AA274" s="32"/>
      <c r="AB274" s="32"/>
      <c r="AC274" s="32"/>
      <c r="AD274" s="32"/>
      <c r="AE274" s="32"/>
      <c r="AF274" s="32"/>
      <c r="AG274" s="32"/>
      <c r="AH274" s="32"/>
      <c r="AI274" s="32"/>
      <c r="AJ274" s="32"/>
      <c r="AK274" s="32"/>
      <c r="AL274" s="32"/>
      <c r="AM274" s="32"/>
      <c r="AN274" s="32"/>
      <c r="AO274" s="32"/>
      <c r="AP274" s="32"/>
    </row>
    <row r="275" spans="1:42" ht="14.25" customHeight="1" x14ac:dyDescent="0.3">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c r="AA275" s="32"/>
      <c r="AB275" s="32"/>
      <c r="AC275" s="32"/>
      <c r="AD275" s="32"/>
      <c r="AE275" s="32"/>
      <c r="AF275" s="32"/>
      <c r="AG275" s="32"/>
      <c r="AH275" s="32"/>
      <c r="AI275" s="32"/>
      <c r="AJ275" s="32"/>
      <c r="AK275" s="32"/>
      <c r="AL275" s="32"/>
      <c r="AM275" s="32"/>
      <c r="AN275" s="32"/>
      <c r="AO275" s="32"/>
      <c r="AP275" s="32"/>
    </row>
    <row r="276" spans="1:42" ht="14.25" customHeight="1" x14ac:dyDescent="0.3">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c r="AA276" s="32"/>
      <c r="AB276" s="32"/>
      <c r="AC276" s="32"/>
      <c r="AD276" s="32"/>
      <c r="AE276" s="32"/>
      <c r="AF276" s="32"/>
      <c r="AG276" s="32"/>
      <c r="AH276" s="32"/>
      <c r="AI276" s="32"/>
      <c r="AJ276" s="32"/>
      <c r="AK276" s="32"/>
      <c r="AL276" s="32"/>
      <c r="AM276" s="32"/>
      <c r="AN276" s="32"/>
      <c r="AO276" s="32"/>
      <c r="AP276" s="32"/>
    </row>
    <row r="277" spans="1:42" ht="14.25" customHeight="1" x14ac:dyDescent="0.3">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c r="AA277" s="32"/>
      <c r="AB277" s="32"/>
      <c r="AC277" s="32"/>
      <c r="AD277" s="32"/>
      <c r="AE277" s="32"/>
      <c r="AF277" s="32"/>
      <c r="AG277" s="32"/>
      <c r="AH277" s="32"/>
      <c r="AI277" s="32"/>
      <c r="AJ277" s="32"/>
      <c r="AK277" s="32"/>
      <c r="AL277" s="32"/>
      <c r="AM277" s="32"/>
      <c r="AN277" s="32"/>
      <c r="AO277" s="32"/>
      <c r="AP277" s="32"/>
    </row>
    <row r="278" spans="1:42" ht="14.25" customHeight="1" x14ac:dyDescent="0.3">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c r="AP278" s="32"/>
    </row>
    <row r="279" spans="1:42" ht="14.25" customHeight="1" x14ac:dyDescent="0.3">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c r="AA279" s="32"/>
      <c r="AB279" s="32"/>
      <c r="AC279" s="32"/>
      <c r="AD279" s="32"/>
      <c r="AE279" s="32"/>
      <c r="AF279" s="32"/>
      <c r="AG279" s="32"/>
      <c r="AH279" s="32"/>
      <c r="AI279" s="32"/>
      <c r="AJ279" s="32"/>
      <c r="AK279" s="32"/>
      <c r="AL279" s="32"/>
      <c r="AM279" s="32"/>
      <c r="AN279" s="32"/>
      <c r="AO279" s="32"/>
      <c r="AP279" s="32"/>
    </row>
    <row r="280" spans="1:42" ht="14.25" customHeight="1" x14ac:dyDescent="0.3">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c r="AA280" s="32"/>
      <c r="AB280" s="32"/>
      <c r="AC280" s="32"/>
      <c r="AD280" s="32"/>
      <c r="AE280" s="32"/>
      <c r="AF280" s="32"/>
      <c r="AG280" s="32"/>
      <c r="AH280" s="32"/>
      <c r="AI280" s="32"/>
      <c r="AJ280" s="32"/>
      <c r="AK280" s="32"/>
      <c r="AL280" s="32"/>
      <c r="AM280" s="32"/>
      <c r="AN280" s="32"/>
      <c r="AO280" s="32"/>
      <c r="AP280" s="32"/>
    </row>
    <row r="281" spans="1:42" ht="14.25" customHeight="1" x14ac:dyDescent="0.3">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c r="AA281" s="32"/>
      <c r="AB281" s="32"/>
      <c r="AC281" s="32"/>
      <c r="AD281" s="32"/>
      <c r="AE281" s="32"/>
      <c r="AF281" s="32"/>
      <c r="AG281" s="32"/>
      <c r="AH281" s="32"/>
      <c r="AI281" s="32"/>
      <c r="AJ281" s="32"/>
      <c r="AK281" s="32"/>
      <c r="AL281" s="32"/>
      <c r="AM281" s="32"/>
      <c r="AN281" s="32"/>
      <c r="AO281" s="32"/>
      <c r="AP281" s="32"/>
    </row>
    <row r="282" spans="1:42" ht="14.25" customHeight="1" x14ac:dyDescent="0.3">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c r="AA282" s="32"/>
      <c r="AB282" s="32"/>
      <c r="AC282" s="32"/>
      <c r="AD282" s="32"/>
      <c r="AE282" s="32"/>
      <c r="AF282" s="32"/>
      <c r="AG282" s="32"/>
      <c r="AH282" s="32"/>
      <c r="AI282" s="32"/>
      <c r="AJ282" s="32"/>
      <c r="AK282" s="32"/>
      <c r="AL282" s="32"/>
      <c r="AM282" s="32"/>
      <c r="AN282" s="32"/>
      <c r="AO282" s="32"/>
      <c r="AP282" s="32"/>
    </row>
    <row r="283" spans="1:42" ht="14.25" customHeight="1" x14ac:dyDescent="0.3">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c r="AA283" s="32"/>
      <c r="AB283" s="32"/>
      <c r="AC283" s="32"/>
      <c r="AD283" s="32"/>
      <c r="AE283" s="32"/>
      <c r="AF283" s="32"/>
      <c r="AG283" s="32"/>
      <c r="AH283" s="32"/>
      <c r="AI283" s="32"/>
      <c r="AJ283" s="32"/>
      <c r="AK283" s="32"/>
      <c r="AL283" s="32"/>
      <c r="AM283" s="32"/>
      <c r="AN283" s="32"/>
      <c r="AO283" s="32"/>
      <c r="AP283" s="32"/>
    </row>
    <row r="284" spans="1:42" ht="14.25" customHeight="1" x14ac:dyDescent="0.3">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c r="AA284" s="32"/>
      <c r="AB284" s="32"/>
      <c r="AC284" s="32"/>
      <c r="AD284" s="32"/>
      <c r="AE284" s="32"/>
      <c r="AF284" s="32"/>
      <c r="AG284" s="32"/>
      <c r="AH284" s="32"/>
      <c r="AI284" s="32"/>
      <c r="AJ284" s="32"/>
      <c r="AK284" s="32"/>
      <c r="AL284" s="32"/>
      <c r="AM284" s="32"/>
      <c r="AN284" s="32"/>
      <c r="AO284" s="32"/>
      <c r="AP284" s="32"/>
    </row>
    <row r="285" spans="1:42" ht="14.25" customHeight="1" x14ac:dyDescent="0.3">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c r="AA285" s="32"/>
      <c r="AB285" s="32"/>
      <c r="AC285" s="32"/>
      <c r="AD285" s="32"/>
      <c r="AE285" s="32"/>
      <c r="AF285" s="32"/>
      <c r="AG285" s="32"/>
      <c r="AH285" s="32"/>
      <c r="AI285" s="32"/>
      <c r="AJ285" s="32"/>
      <c r="AK285" s="32"/>
      <c r="AL285" s="32"/>
      <c r="AM285" s="32"/>
      <c r="AN285" s="32"/>
      <c r="AO285" s="32"/>
      <c r="AP285" s="32"/>
    </row>
    <row r="286" spans="1:42" ht="14.25" customHeight="1" x14ac:dyDescent="0.3">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c r="AA286" s="32"/>
      <c r="AB286" s="32"/>
      <c r="AC286" s="32"/>
      <c r="AD286" s="32"/>
      <c r="AE286" s="32"/>
      <c r="AF286" s="32"/>
      <c r="AG286" s="32"/>
      <c r="AH286" s="32"/>
      <c r="AI286" s="32"/>
      <c r="AJ286" s="32"/>
      <c r="AK286" s="32"/>
      <c r="AL286" s="32"/>
      <c r="AM286" s="32"/>
      <c r="AN286" s="32"/>
      <c r="AO286" s="32"/>
      <c r="AP286" s="32"/>
    </row>
    <row r="287" spans="1:42" ht="14.25" customHeight="1" x14ac:dyDescent="0.3">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c r="AP287" s="32"/>
    </row>
    <row r="288" spans="1:42" ht="14.25" customHeight="1" x14ac:dyDescent="0.3">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c r="AA288" s="32"/>
      <c r="AB288" s="32"/>
      <c r="AC288" s="32"/>
      <c r="AD288" s="32"/>
      <c r="AE288" s="32"/>
      <c r="AF288" s="32"/>
      <c r="AG288" s="32"/>
      <c r="AH288" s="32"/>
      <c r="AI288" s="32"/>
      <c r="AJ288" s="32"/>
      <c r="AK288" s="32"/>
      <c r="AL288" s="32"/>
      <c r="AM288" s="32"/>
      <c r="AN288" s="32"/>
      <c r="AO288" s="32"/>
      <c r="AP288" s="32"/>
    </row>
    <row r="289" spans="1:42" ht="14.25" customHeight="1" x14ac:dyDescent="0.3">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c r="AA289" s="32"/>
      <c r="AB289" s="32"/>
      <c r="AC289" s="32"/>
      <c r="AD289" s="32"/>
      <c r="AE289" s="32"/>
      <c r="AF289" s="32"/>
      <c r="AG289" s="32"/>
      <c r="AH289" s="32"/>
      <c r="AI289" s="32"/>
      <c r="AJ289" s="32"/>
      <c r="AK289" s="32"/>
      <c r="AL289" s="32"/>
      <c r="AM289" s="32"/>
      <c r="AN289" s="32"/>
      <c r="AO289" s="32"/>
      <c r="AP289" s="32"/>
    </row>
    <row r="290" spans="1:42" ht="14.25" customHeight="1" x14ac:dyDescent="0.3">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c r="AA290" s="32"/>
      <c r="AB290" s="32"/>
      <c r="AC290" s="32"/>
      <c r="AD290" s="32"/>
      <c r="AE290" s="32"/>
      <c r="AF290" s="32"/>
      <c r="AG290" s="32"/>
      <c r="AH290" s="32"/>
      <c r="AI290" s="32"/>
      <c r="AJ290" s="32"/>
      <c r="AK290" s="32"/>
      <c r="AL290" s="32"/>
      <c r="AM290" s="32"/>
      <c r="AN290" s="32"/>
      <c r="AO290" s="32"/>
      <c r="AP290" s="32"/>
    </row>
    <row r="291" spans="1:42" ht="14.25" customHeight="1" x14ac:dyDescent="0.3">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c r="AA291" s="32"/>
      <c r="AB291" s="32"/>
      <c r="AC291" s="32"/>
      <c r="AD291" s="32"/>
      <c r="AE291" s="32"/>
      <c r="AF291" s="32"/>
      <c r="AG291" s="32"/>
      <c r="AH291" s="32"/>
      <c r="AI291" s="32"/>
      <c r="AJ291" s="32"/>
      <c r="AK291" s="32"/>
      <c r="AL291" s="32"/>
      <c r="AM291" s="32"/>
      <c r="AN291" s="32"/>
      <c r="AO291" s="32"/>
      <c r="AP291" s="32"/>
    </row>
    <row r="292" spans="1:42" ht="14.25" customHeight="1" x14ac:dyDescent="0.3">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c r="AA292" s="32"/>
      <c r="AB292" s="32"/>
      <c r="AC292" s="32"/>
      <c r="AD292" s="32"/>
      <c r="AE292" s="32"/>
      <c r="AF292" s="32"/>
      <c r="AG292" s="32"/>
      <c r="AH292" s="32"/>
      <c r="AI292" s="32"/>
      <c r="AJ292" s="32"/>
      <c r="AK292" s="32"/>
      <c r="AL292" s="32"/>
      <c r="AM292" s="32"/>
      <c r="AN292" s="32"/>
      <c r="AO292" s="32"/>
      <c r="AP292" s="32"/>
    </row>
    <row r="293" spans="1:42" ht="14.25" customHeight="1" x14ac:dyDescent="0.3">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c r="AA293" s="32"/>
      <c r="AB293" s="32"/>
      <c r="AC293" s="32"/>
      <c r="AD293" s="32"/>
      <c r="AE293" s="32"/>
      <c r="AF293" s="32"/>
      <c r="AG293" s="32"/>
      <c r="AH293" s="32"/>
      <c r="AI293" s="32"/>
      <c r="AJ293" s="32"/>
      <c r="AK293" s="32"/>
      <c r="AL293" s="32"/>
      <c r="AM293" s="32"/>
      <c r="AN293" s="32"/>
      <c r="AO293" s="32"/>
      <c r="AP293" s="32"/>
    </row>
    <row r="294" spans="1:42" ht="14.25" customHeight="1" x14ac:dyDescent="0.3">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c r="AP294" s="32"/>
    </row>
    <row r="295" spans="1:42" ht="14.25" customHeight="1" x14ac:dyDescent="0.3">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c r="AA295" s="32"/>
      <c r="AB295" s="32"/>
      <c r="AC295" s="32"/>
      <c r="AD295" s="32"/>
      <c r="AE295" s="32"/>
      <c r="AF295" s="32"/>
      <c r="AG295" s="32"/>
      <c r="AH295" s="32"/>
      <c r="AI295" s="32"/>
      <c r="AJ295" s="32"/>
      <c r="AK295" s="32"/>
      <c r="AL295" s="32"/>
      <c r="AM295" s="32"/>
      <c r="AN295" s="32"/>
      <c r="AO295" s="32"/>
      <c r="AP295" s="32"/>
    </row>
    <row r="296" spans="1:42" ht="14.25" customHeight="1" x14ac:dyDescent="0.3">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c r="AA296" s="32"/>
      <c r="AB296" s="32"/>
      <c r="AC296" s="32"/>
      <c r="AD296" s="32"/>
      <c r="AE296" s="32"/>
      <c r="AF296" s="32"/>
      <c r="AG296" s="32"/>
      <c r="AH296" s="32"/>
      <c r="AI296" s="32"/>
      <c r="AJ296" s="32"/>
      <c r="AK296" s="32"/>
      <c r="AL296" s="32"/>
      <c r="AM296" s="32"/>
      <c r="AN296" s="32"/>
      <c r="AO296" s="32"/>
      <c r="AP296" s="32"/>
    </row>
    <row r="297" spans="1:42" ht="14.25" customHeight="1" x14ac:dyDescent="0.3">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c r="AA297" s="32"/>
      <c r="AB297" s="32"/>
      <c r="AC297" s="32"/>
      <c r="AD297" s="32"/>
      <c r="AE297" s="32"/>
      <c r="AF297" s="32"/>
      <c r="AG297" s="32"/>
      <c r="AH297" s="32"/>
      <c r="AI297" s="32"/>
      <c r="AJ297" s="32"/>
      <c r="AK297" s="32"/>
      <c r="AL297" s="32"/>
      <c r="AM297" s="32"/>
      <c r="AN297" s="32"/>
      <c r="AO297" s="32"/>
      <c r="AP297" s="32"/>
    </row>
    <row r="298" spans="1:42" ht="14.25" customHeight="1" x14ac:dyDescent="0.3">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c r="AA298" s="32"/>
      <c r="AB298" s="32"/>
      <c r="AC298" s="32"/>
      <c r="AD298" s="32"/>
      <c r="AE298" s="32"/>
      <c r="AF298" s="32"/>
      <c r="AG298" s="32"/>
      <c r="AH298" s="32"/>
      <c r="AI298" s="32"/>
      <c r="AJ298" s="32"/>
      <c r="AK298" s="32"/>
      <c r="AL298" s="32"/>
      <c r="AM298" s="32"/>
      <c r="AN298" s="32"/>
      <c r="AO298" s="32"/>
      <c r="AP298" s="32"/>
    </row>
    <row r="299" spans="1:42" ht="14.25" customHeight="1" x14ac:dyDescent="0.3">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c r="AA299" s="32"/>
      <c r="AB299" s="32"/>
      <c r="AC299" s="32"/>
      <c r="AD299" s="32"/>
      <c r="AE299" s="32"/>
      <c r="AF299" s="32"/>
      <c r="AG299" s="32"/>
      <c r="AH299" s="32"/>
      <c r="AI299" s="32"/>
      <c r="AJ299" s="32"/>
      <c r="AK299" s="32"/>
      <c r="AL299" s="32"/>
      <c r="AM299" s="32"/>
      <c r="AN299" s="32"/>
      <c r="AO299" s="32"/>
      <c r="AP299" s="32"/>
    </row>
    <row r="300" spans="1:42" ht="14.25" customHeight="1" x14ac:dyDescent="0.3">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c r="AP300" s="32"/>
    </row>
    <row r="301" spans="1:42" ht="14.25" customHeight="1" x14ac:dyDescent="0.3">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c r="AA301" s="32"/>
      <c r="AB301" s="32"/>
      <c r="AC301" s="32"/>
      <c r="AD301" s="32"/>
      <c r="AE301" s="32"/>
      <c r="AF301" s="32"/>
      <c r="AG301" s="32"/>
      <c r="AH301" s="32"/>
      <c r="AI301" s="32"/>
      <c r="AJ301" s="32"/>
      <c r="AK301" s="32"/>
      <c r="AL301" s="32"/>
      <c r="AM301" s="32"/>
      <c r="AN301" s="32"/>
      <c r="AO301" s="32"/>
      <c r="AP301" s="32"/>
    </row>
    <row r="302" spans="1:42" ht="14.25" customHeight="1" x14ac:dyDescent="0.3">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c r="AA302" s="32"/>
      <c r="AB302" s="32"/>
      <c r="AC302" s="32"/>
      <c r="AD302" s="32"/>
      <c r="AE302" s="32"/>
      <c r="AF302" s="32"/>
      <c r="AG302" s="32"/>
      <c r="AH302" s="32"/>
      <c r="AI302" s="32"/>
      <c r="AJ302" s="32"/>
      <c r="AK302" s="32"/>
      <c r="AL302" s="32"/>
      <c r="AM302" s="32"/>
      <c r="AN302" s="32"/>
      <c r="AO302" s="32"/>
      <c r="AP302" s="32"/>
    </row>
    <row r="303" spans="1:42" ht="14.25" customHeight="1" x14ac:dyDescent="0.3">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c r="AA303" s="32"/>
      <c r="AB303" s="32"/>
      <c r="AC303" s="32"/>
      <c r="AD303" s="32"/>
      <c r="AE303" s="32"/>
      <c r="AF303" s="32"/>
      <c r="AG303" s="32"/>
      <c r="AH303" s="32"/>
      <c r="AI303" s="32"/>
      <c r="AJ303" s="32"/>
      <c r="AK303" s="32"/>
      <c r="AL303" s="32"/>
      <c r="AM303" s="32"/>
      <c r="AN303" s="32"/>
      <c r="AO303" s="32"/>
      <c r="AP303" s="32"/>
    </row>
    <row r="304" spans="1:42" ht="14.25" customHeight="1" x14ac:dyDescent="0.3">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c r="AA304" s="32"/>
      <c r="AB304" s="32"/>
      <c r="AC304" s="32"/>
      <c r="AD304" s="32"/>
      <c r="AE304" s="32"/>
      <c r="AF304" s="32"/>
      <c r="AG304" s="32"/>
      <c r="AH304" s="32"/>
      <c r="AI304" s="32"/>
      <c r="AJ304" s="32"/>
      <c r="AK304" s="32"/>
      <c r="AL304" s="32"/>
      <c r="AM304" s="32"/>
      <c r="AN304" s="32"/>
      <c r="AO304" s="32"/>
      <c r="AP304" s="32"/>
    </row>
    <row r="305" spans="1:42" ht="14.25" customHeight="1" x14ac:dyDescent="0.3">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c r="AA305" s="32"/>
      <c r="AB305" s="32"/>
      <c r="AC305" s="32"/>
      <c r="AD305" s="32"/>
      <c r="AE305" s="32"/>
      <c r="AF305" s="32"/>
      <c r="AG305" s="32"/>
      <c r="AH305" s="32"/>
      <c r="AI305" s="32"/>
      <c r="AJ305" s="32"/>
      <c r="AK305" s="32"/>
      <c r="AL305" s="32"/>
      <c r="AM305" s="32"/>
      <c r="AN305" s="32"/>
      <c r="AO305" s="32"/>
      <c r="AP305" s="32"/>
    </row>
    <row r="306" spans="1:42" ht="14.25" customHeight="1" x14ac:dyDescent="0.3">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c r="AA306" s="32"/>
      <c r="AB306" s="32"/>
      <c r="AC306" s="32"/>
      <c r="AD306" s="32"/>
      <c r="AE306" s="32"/>
      <c r="AF306" s="32"/>
      <c r="AG306" s="32"/>
      <c r="AH306" s="32"/>
      <c r="AI306" s="32"/>
      <c r="AJ306" s="32"/>
      <c r="AK306" s="32"/>
      <c r="AL306" s="32"/>
      <c r="AM306" s="32"/>
      <c r="AN306" s="32"/>
      <c r="AO306" s="32"/>
      <c r="AP306" s="32"/>
    </row>
    <row r="307" spans="1:42" ht="14.25" customHeight="1" x14ac:dyDescent="0.3">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c r="AP307" s="32"/>
    </row>
    <row r="308" spans="1:42" ht="14.25" customHeight="1" x14ac:dyDescent="0.3">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c r="AA308" s="32"/>
      <c r="AB308" s="32"/>
      <c r="AC308" s="32"/>
      <c r="AD308" s="32"/>
      <c r="AE308" s="32"/>
      <c r="AF308" s="32"/>
      <c r="AG308" s="32"/>
      <c r="AH308" s="32"/>
      <c r="AI308" s="32"/>
      <c r="AJ308" s="32"/>
      <c r="AK308" s="32"/>
      <c r="AL308" s="32"/>
      <c r="AM308" s="32"/>
      <c r="AN308" s="32"/>
      <c r="AO308" s="32"/>
      <c r="AP308" s="32"/>
    </row>
    <row r="309" spans="1:42" ht="14.25" customHeight="1" x14ac:dyDescent="0.3">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c r="AA309" s="32"/>
      <c r="AB309" s="32"/>
      <c r="AC309" s="32"/>
      <c r="AD309" s="32"/>
      <c r="AE309" s="32"/>
      <c r="AF309" s="32"/>
      <c r="AG309" s="32"/>
      <c r="AH309" s="32"/>
      <c r="AI309" s="32"/>
      <c r="AJ309" s="32"/>
      <c r="AK309" s="32"/>
      <c r="AL309" s="32"/>
      <c r="AM309" s="32"/>
      <c r="AN309" s="32"/>
      <c r="AO309" s="32"/>
      <c r="AP309" s="32"/>
    </row>
    <row r="310" spans="1:42" ht="14.25" customHeight="1" x14ac:dyDescent="0.3">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c r="AA310" s="32"/>
      <c r="AB310" s="32"/>
      <c r="AC310" s="32"/>
      <c r="AD310" s="32"/>
      <c r="AE310" s="32"/>
      <c r="AF310" s="32"/>
      <c r="AG310" s="32"/>
      <c r="AH310" s="32"/>
      <c r="AI310" s="32"/>
      <c r="AJ310" s="32"/>
      <c r="AK310" s="32"/>
      <c r="AL310" s="32"/>
      <c r="AM310" s="32"/>
      <c r="AN310" s="32"/>
      <c r="AO310" s="32"/>
      <c r="AP310" s="32"/>
    </row>
    <row r="311" spans="1:42" ht="14.25" customHeight="1" x14ac:dyDescent="0.3">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c r="AA311" s="32"/>
      <c r="AB311" s="32"/>
      <c r="AC311" s="32"/>
      <c r="AD311" s="32"/>
      <c r="AE311" s="32"/>
      <c r="AF311" s="32"/>
      <c r="AG311" s="32"/>
      <c r="AH311" s="32"/>
      <c r="AI311" s="32"/>
      <c r="AJ311" s="32"/>
      <c r="AK311" s="32"/>
      <c r="AL311" s="32"/>
      <c r="AM311" s="32"/>
      <c r="AN311" s="32"/>
      <c r="AO311" s="32"/>
      <c r="AP311" s="32"/>
    </row>
    <row r="312" spans="1:42" ht="14.25" customHeight="1" x14ac:dyDescent="0.3">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c r="AA312" s="32"/>
      <c r="AB312" s="32"/>
      <c r="AC312" s="32"/>
      <c r="AD312" s="32"/>
      <c r="AE312" s="32"/>
      <c r="AF312" s="32"/>
      <c r="AG312" s="32"/>
      <c r="AH312" s="32"/>
      <c r="AI312" s="32"/>
      <c r="AJ312" s="32"/>
      <c r="AK312" s="32"/>
      <c r="AL312" s="32"/>
      <c r="AM312" s="32"/>
      <c r="AN312" s="32"/>
      <c r="AO312" s="32"/>
      <c r="AP312" s="32"/>
    </row>
    <row r="313" spans="1:42" ht="14.25" customHeight="1" x14ac:dyDescent="0.3">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c r="AA313" s="32"/>
      <c r="AB313" s="32"/>
      <c r="AC313" s="32"/>
      <c r="AD313" s="32"/>
      <c r="AE313" s="32"/>
      <c r="AF313" s="32"/>
      <c r="AG313" s="32"/>
      <c r="AH313" s="32"/>
      <c r="AI313" s="32"/>
      <c r="AJ313" s="32"/>
      <c r="AK313" s="32"/>
      <c r="AL313" s="32"/>
      <c r="AM313" s="32"/>
      <c r="AN313" s="32"/>
      <c r="AO313" s="32"/>
      <c r="AP313" s="32"/>
    </row>
    <row r="314" spans="1:42" ht="14.25" customHeight="1" x14ac:dyDescent="0.3">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c r="AA314" s="32"/>
      <c r="AB314" s="32"/>
      <c r="AC314" s="32"/>
      <c r="AD314" s="32"/>
      <c r="AE314" s="32"/>
      <c r="AF314" s="32"/>
      <c r="AG314" s="32"/>
      <c r="AH314" s="32"/>
      <c r="AI314" s="32"/>
      <c r="AJ314" s="32"/>
      <c r="AK314" s="32"/>
      <c r="AL314" s="32"/>
      <c r="AM314" s="32"/>
      <c r="AN314" s="32"/>
      <c r="AO314" s="32"/>
      <c r="AP314" s="32"/>
    </row>
    <row r="315" spans="1:42" ht="14.25" customHeight="1" x14ac:dyDescent="0.3">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c r="AA315" s="32"/>
      <c r="AB315" s="32"/>
      <c r="AC315" s="32"/>
      <c r="AD315" s="32"/>
      <c r="AE315" s="32"/>
      <c r="AF315" s="32"/>
      <c r="AG315" s="32"/>
      <c r="AH315" s="32"/>
      <c r="AI315" s="32"/>
      <c r="AJ315" s="32"/>
      <c r="AK315" s="32"/>
      <c r="AL315" s="32"/>
      <c r="AM315" s="32"/>
      <c r="AN315" s="32"/>
      <c r="AO315" s="32"/>
      <c r="AP315" s="32"/>
    </row>
    <row r="316" spans="1:42" ht="14.25" customHeight="1" x14ac:dyDescent="0.3">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c r="AA316" s="32"/>
      <c r="AB316" s="32"/>
      <c r="AC316" s="32"/>
      <c r="AD316" s="32"/>
      <c r="AE316" s="32"/>
      <c r="AF316" s="32"/>
      <c r="AG316" s="32"/>
      <c r="AH316" s="32"/>
      <c r="AI316" s="32"/>
      <c r="AJ316" s="32"/>
      <c r="AK316" s="32"/>
      <c r="AL316" s="32"/>
      <c r="AM316" s="32"/>
      <c r="AN316" s="32"/>
      <c r="AO316" s="32"/>
      <c r="AP316" s="32"/>
    </row>
    <row r="317" spans="1:42" ht="14.25" customHeight="1" x14ac:dyDescent="0.3">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c r="AA317" s="32"/>
      <c r="AB317" s="32"/>
      <c r="AC317" s="32"/>
      <c r="AD317" s="32"/>
      <c r="AE317" s="32"/>
      <c r="AF317" s="32"/>
      <c r="AG317" s="32"/>
      <c r="AH317" s="32"/>
      <c r="AI317" s="32"/>
      <c r="AJ317" s="32"/>
      <c r="AK317" s="32"/>
      <c r="AL317" s="32"/>
      <c r="AM317" s="32"/>
      <c r="AN317" s="32"/>
      <c r="AO317" s="32"/>
      <c r="AP317" s="32"/>
    </row>
    <row r="318" spans="1:42" ht="14.25" customHeight="1" x14ac:dyDescent="0.3">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c r="AA318" s="32"/>
      <c r="AB318" s="32"/>
      <c r="AC318" s="32"/>
      <c r="AD318" s="32"/>
      <c r="AE318" s="32"/>
      <c r="AF318" s="32"/>
      <c r="AG318" s="32"/>
      <c r="AH318" s="32"/>
      <c r="AI318" s="32"/>
      <c r="AJ318" s="32"/>
      <c r="AK318" s="32"/>
      <c r="AL318" s="32"/>
      <c r="AM318" s="32"/>
      <c r="AN318" s="32"/>
      <c r="AO318" s="32"/>
      <c r="AP318" s="32"/>
    </row>
    <row r="319" spans="1:42" ht="14.25" customHeight="1" x14ac:dyDescent="0.3">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row>
    <row r="320" spans="1:42" ht="14.25" customHeight="1" x14ac:dyDescent="0.3">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c r="AA320" s="32"/>
      <c r="AB320" s="32"/>
      <c r="AC320" s="32"/>
      <c r="AD320" s="32"/>
      <c r="AE320" s="32"/>
      <c r="AF320" s="32"/>
      <c r="AG320" s="32"/>
      <c r="AH320" s="32"/>
      <c r="AI320" s="32"/>
      <c r="AJ320" s="32"/>
      <c r="AK320" s="32"/>
      <c r="AL320" s="32"/>
      <c r="AM320" s="32"/>
      <c r="AN320" s="32"/>
      <c r="AO320" s="32"/>
      <c r="AP320" s="32"/>
    </row>
    <row r="321" spans="1:42" ht="14.25" customHeight="1" x14ac:dyDescent="0.3">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c r="AA321" s="32"/>
      <c r="AB321" s="32"/>
      <c r="AC321" s="32"/>
      <c r="AD321" s="32"/>
      <c r="AE321" s="32"/>
      <c r="AF321" s="32"/>
      <c r="AG321" s="32"/>
      <c r="AH321" s="32"/>
      <c r="AI321" s="32"/>
      <c r="AJ321" s="32"/>
      <c r="AK321" s="32"/>
      <c r="AL321" s="32"/>
      <c r="AM321" s="32"/>
      <c r="AN321" s="32"/>
      <c r="AO321" s="32"/>
      <c r="AP321" s="32"/>
    </row>
    <row r="322" spans="1:42" ht="14.25" customHeight="1" x14ac:dyDescent="0.3">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c r="AA322" s="32"/>
      <c r="AB322" s="32"/>
      <c r="AC322" s="32"/>
      <c r="AD322" s="32"/>
      <c r="AE322" s="32"/>
      <c r="AF322" s="32"/>
      <c r="AG322" s="32"/>
      <c r="AH322" s="32"/>
      <c r="AI322" s="32"/>
      <c r="AJ322" s="32"/>
      <c r="AK322" s="32"/>
      <c r="AL322" s="32"/>
      <c r="AM322" s="32"/>
      <c r="AN322" s="32"/>
      <c r="AO322" s="32"/>
      <c r="AP322" s="32"/>
    </row>
    <row r="323" spans="1:42" ht="14.25" customHeight="1" x14ac:dyDescent="0.3">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c r="AA323" s="32"/>
      <c r="AB323" s="32"/>
      <c r="AC323" s="32"/>
      <c r="AD323" s="32"/>
      <c r="AE323" s="32"/>
      <c r="AF323" s="32"/>
      <c r="AG323" s="32"/>
      <c r="AH323" s="32"/>
      <c r="AI323" s="32"/>
      <c r="AJ323" s="32"/>
      <c r="AK323" s="32"/>
      <c r="AL323" s="32"/>
      <c r="AM323" s="32"/>
      <c r="AN323" s="32"/>
      <c r="AO323" s="32"/>
      <c r="AP323" s="32"/>
    </row>
    <row r="324" spans="1:42" ht="14.25" customHeight="1" x14ac:dyDescent="0.3">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c r="AA324" s="32"/>
      <c r="AB324" s="32"/>
      <c r="AC324" s="32"/>
      <c r="AD324" s="32"/>
      <c r="AE324" s="32"/>
      <c r="AF324" s="32"/>
      <c r="AG324" s="32"/>
      <c r="AH324" s="32"/>
      <c r="AI324" s="32"/>
      <c r="AJ324" s="32"/>
      <c r="AK324" s="32"/>
      <c r="AL324" s="32"/>
      <c r="AM324" s="32"/>
      <c r="AN324" s="32"/>
      <c r="AO324" s="32"/>
      <c r="AP324" s="32"/>
    </row>
    <row r="325" spans="1:42" ht="14.25" customHeight="1" x14ac:dyDescent="0.3">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c r="AA325" s="32"/>
      <c r="AB325" s="32"/>
      <c r="AC325" s="32"/>
      <c r="AD325" s="32"/>
      <c r="AE325" s="32"/>
      <c r="AF325" s="32"/>
      <c r="AG325" s="32"/>
      <c r="AH325" s="32"/>
      <c r="AI325" s="32"/>
      <c r="AJ325" s="32"/>
      <c r="AK325" s="32"/>
      <c r="AL325" s="32"/>
      <c r="AM325" s="32"/>
      <c r="AN325" s="32"/>
      <c r="AO325" s="32"/>
      <c r="AP325" s="32"/>
    </row>
    <row r="326" spans="1:42" ht="14.25" customHeight="1" x14ac:dyDescent="0.3">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c r="AA326" s="32"/>
      <c r="AB326" s="32"/>
      <c r="AC326" s="32"/>
      <c r="AD326" s="32"/>
      <c r="AE326" s="32"/>
      <c r="AF326" s="32"/>
      <c r="AG326" s="32"/>
      <c r="AH326" s="32"/>
      <c r="AI326" s="32"/>
      <c r="AJ326" s="32"/>
      <c r="AK326" s="32"/>
      <c r="AL326" s="32"/>
      <c r="AM326" s="32"/>
      <c r="AN326" s="32"/>
      <c r="AO326" s="32"/>
      <c r="AP326" s="32"/>
    </row>
    <row r="327" spans="1:42" ht="14.25" customHeight="1" x14ac:dyDescent="0.3">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c r="AP327" s="32"/>
    </row>
    <row r="328" spans="1:42" ht="14.25" customHeight="1" x14ac:dyDescent="0.3">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c r="AA328" s="32"/>
      <c r="AB328" s="32"/>
      <c r="AC328" s="32"/>
      <c r="AD328" s="32"/>
      <c r="AE328" s="32"/>
      <c r="AF328" s="32"/>
      <c r="AG328" s="32"/>
      <c r="AH328" s="32"/>
      <c r="AI328" s="32"/>
      <c r="AJ328" s="32"/>
      <c r="AK328" s="32"/>
      <c r="AL328" s="32"/>
      <c r="AM328" s="32"/>
      <c r="AN328" s="32"/>
      <c r="AO328" s="32"/>
      <c r="AP328" s="32"/>
    </row>
    <row r="329" spans="1:42" ht="14.25" customHeight="1" x14ac:dyDescent="0.3">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c r="AA329" s="32"/>
      <c r="AB329" s="32"/>
      <c r="AC329" s="32"/>
      <c r="AD329" s="32"/>
      <c r="AE329" s="32"/>
      <c r="AF329" s="32"/>
      <c r="AG329" s="32"/>
      <c r="AH329" s="32"/>
      <c r="AI329" s="32"/>
      <c r="AJ329" s="32"/>
      <c r="AK329" s="32"/>
      <c r="AL329" s="32"/>
      <c r="AM329" s="32"/>
      <c r="AN329" s="32"/>
      <c r="AO329" s="32"/>
      <c r="AP329" s="32"/>
    </row>
    <row r="330" spans="1:42" ht="14.25" customHeight="1" x14ac:dyDescent="0.3">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c r="AA330" s="32"/>
      <c r="AB330" s="32"/>
      <c r="AC330" s="32"/>
      <c r="AD330" s="32"/>
      <c r="AE330" s="32"/>
      <c r="AF330" s="32"/>
      <c r="AG330" s="32"/>
      <c r="AH330" s="32"/>
      <c r="AI330" s="32"/>
      <c r="AJ330" s="32"/>
      <c r="AK330" s="32"/>
      <c r="AL330" s="32"/>
      <c r="AM330" s="32"/>
      <c r="AN330" s="32"/>
      <c r="AO330" s="32"/>
      <c r="AP330" s="32"/>
    </row>
    <row r="331" spans="1:42" ht="14.25" customHeight="1" x14ac:dyDescent="0.3">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c r="AA331" s="32"/>
      <c r="AB331" s="32"/>
      <c r="AC331" s="32"/>
      <c r="AD331" s="32"/>
      <c r="AE331" s="32"/>
      <c r="AF331" s="32"/>
      <c r="AG331" s="32"/>
      <c r="AH331" s="32"/>
      <c r="AI331" s="32"/>
      <c r="AJ331" s="32"/>
      <c r="AK331" s="32"/>
      <c r="AL331" s="32"/>
      <c r="AM331" s="32"/>
      <c r="AN331" s="32"/>
      <c r="AO331" s="32"/>
      <c r="AP331" s="32"/>
    </row>
    <row r="332" spans="1:42" ht="14.25" customHeight="1" x14ac:dyDescent="0.3">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c r="AA332" s="32"/>
      <c r="AB332" s="32"/>
      <c r="AC332" s="32"/>
      <c r="AD332" s="32"/>
      <c r="AE332" s="32"/>
      <c r="AF332" s="32"/>
      <c r="AG332" s="32"/>
      <c r="AH332" s="32"/>
      <c r="AI332" s="32"/>
      <c r="AJ332" s="32"/>
      <c r="AK332" s="32"/>
      <c r="AL332" s="32"/>
      <c r="AM332" s="32"/>
      <c r="AN332" s="32"/>
      <c r="AO332" s="32"/>
      <c r="AP332" s="32"/>
    </row>
    <row r="333" spans="1:42" ht="14.25" customHeight="1" x14ac:dyDescent="0.3">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c r="AA333" s="32"/>
      <c r="AB333" s="32"/>
      <c r="AC333" s="32"/>
      <c r="AD333" s="32"/>
      <c r="AE333" s="32"/>
      <c r="AF333" s="32"/>
      <c r="AG333" s="32"/>
      <c r="AH333" s="32"/>
      <c r="AI333" s="32"/>
      <c r="AJ333" s="32"/>
      <c r="AK333" s="32"/>
      <c r="AL333" s="32"/>
      <c r="AM333" s="32"/>
      <c r="AN333" s="32"/>
      <c r="AO333" s="32"/>
      <c r="AP333" s="32"/>
    </row>
    <row r="334" spans="1:42" ht="14.25" customHeight="1" x14ac:dyDescent="0.3">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c r="AA334" s="32"/>
      <c r="AB334" s="32"/>
      <c r="AC334" s="32"/>
      <c r="AD334" s="32"/>
      <c r="AE334" s="32"/>
      <c r="AF334" s="32"/>
      <c r="AG334" s="32"/>
      <c r="AH334" s="32"/>
      <c r="AI334" s="32"/>
      <c r="AJ334" s="32"/>
      <c r="AK334" s="32"/>
      <c r="AL334" s="32"/>
      <c r="AM334" s="32"/>
      <c r="AN334" s="32"/>
      <c r="AO334" s="32"/>
      <c r="AP334" s="32"/>
    </row>
    <row r="335" spans="1:42" ht="14.25" customHeight="1" x14ac:dyDescent="0.3">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c r="AA335" s="32"/>
      <c r="AB335" s="32"/>
      <c r="AC335" s="32"/>
      <c r="AD335" s="32"/>
      <c r="AE335" s="32"/>
      <c r="AF335" s="32"/>
      <c r="AG335" s="32"/>
      <c r="AH335" s="32"/>
      <c r="AI335" s="32"/>
      <c r="AJ335" s="32"/>
      <c r="AK335" s="32"/>
      <c r="AL335" s="32"/>
      <c r="AM335" s="32"/>
      <c r="AN335" s="32"/>
      <c r="AO335" s="32"/>
      <c r="AP335" s="32"/>
    </row>
    <row r="336" spans="1:42" ht="14.25" customHeight="1" x14ac:dyDescent="0.3">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c r="AA336" s="32"/>
      <c r="AB336" s="32"/>
      <c r="AC336" s="32"/>
      <c r="AD336" s="32"/>
      <c r="AE336" s="32"/>
      <c r="AF336" s="32"/>
      <c r="AG336" s="32"/>
      <c r="AH336" s="32"/>
      <c r="AI336" s="32"/>
      <c r="AJ336" s="32"/>
      <c r="AK336" s="32"/>
      <c r="AL336" s="32"/>
      <c r="AM336" s="32"/>
      <c r="AN336" s="32"/>
      <c r="AO336" s="32"/>
      <c r="AP336" s="32"/>
    </row>
    <row r="337" spans="1:42" ht="14.25" customHeight="1" x14ac:dyDescent="0.3">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c r="AA337" s="32"/>
      <c r="AB337" s="32"/>
      <c r="AC337" s="32"/>
      <c r="AD337" s="32"/>
      <c r="AE337" s="32"/>
      <c r="AF337" s="32"/>
      <c r="AG337" s="32"/>
      <c r="AH337" s="32"/>
      <c r="AI337" s="32"/>
      <c r="AJ337" s="32"/>
      <c r="AK337" s="32"/>
      <c r="AL337" s="32"/>
      <c r="AM337" s="32"/>
      <c r="AN337" s="32"/>
      <c r="AO337" s="32"/>
      <c r="AP337" s="32"/>
    </row>
    <row r="338" spans="1:42" ht="14.25" customHeight="1" x14ac:dyDescent="0.3">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c r="AA338" s="32"/>
      <c r="AB338" s="32"/>
      <c r="AC338" s="32"/>
      <c r="AD338" s="32"/>
      <c r="AE338" s="32"/>
      <c r="AF338" s="32"/>
      <c r="AG338" s="32"/>
      <c r="AH338" s="32"/>
      <c r="AI338" s="32"/>
      <c r="AJ338" s="32"/>
      <c r="AK338" s="32"/>
      <c r="AL338" s="32"/>
      <c r="AM338" s="32"/>
      <c r="AN338" s="32"/>
      <c r="AO338" s="32"/>
      <c r="AP338" s="32"/>
    </row>
    <row r="339" spans="1:42" ht="14.25" customHeight="1" x14ac:dyDescent="0.3">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c r="AA339" s="32"/>
      <c r="AB339" s="32"/>
      <c r="AC339" s="32"/>
      <c r="AD339" s="32"/>
      <c r="AE339" s="32"/>
      <c r="AF339" s="32"/>
      <c r="AG339" s="32"/>
      <c r="AH339" s="32"/>
      <c r="AI339" s="32"/>
      <c r="AJ339" s="32"/>
      <c r="AK339" s="32"/>
      <c r="AL339" s="32"/>
      <c r="AM339" s="32"/>
      <c r="AN339" s="32"/>
      <c r="AO339" s="32"/>
      <c r="AP339" s="32"/>
    </row>
    <row r="340" spans="1:42" ht="14.25" customHeight="1" x14ac:dyDescent="0.3">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c r="AP340" s="32"/>
    </row>
    <row r="341" spans="1:42" ht="14.25" customHeight="1" x14ac:dyDescent="0.3">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c r="AA341" s="32"/>
      <c r="AB341" s="32"/>
      <c r="AC341" s="32"/>
      <c r="AD341" s="32"/>
      <c r="AE341" s="32"/>
      <c r="AF341" s="32"/>
      <c r="AG341" s="32"/>
      <c r="AH341" s="32"/>
      <c r="AI341" s="32"/>
      <c r="AJ341" s="32"/>
      <c r="AK341" s="32"/>
      <c r="AL341" s="32"/>
      <c r="AM341" s="32"/>
      <c r="AN341" s="32"/>
      <c r="AO341" s="32"/>
      <c r="AP341" s="32"/>
    </row>
    <row r="342" spans="1:42" ht="14.25" customHeight="1" x14ac:dyDescent="0.3">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c r="AA342" s="32"/>
      <c r="AB342" s="32"/>
      <c r="AC342" s="32"/>
      <c r="AD342" s="32"/>
      <c r="AE342" s="32"/>
      <c r="AF342" s="32"/>
      <c r="AG342" s="32"/>
      <c r="AH342" s="32"/>
      <c r="AI342" s="32"/>
      <c r="AJ342" s="32"/>
      <c r="AK342" s="32"/>
      <c r="AL342" s="32"/>
      <c r="AM342" s="32"/>
      <c r="AN342" s="32"/>
      <c r="AO342" s="32"/>
      <c r="AP342" s="32"/>
    </row>
    <row r="343" spans="1:42" ht="14.25" customHeight="1" x14ac:dyDescent="0.3">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c r="AA343" s="32"/>
      <c r="AB343" s="32"/>
      <c r="AC343" s="32"/>
      <c r="AD343" s="32"/>
      <c r="AE343" s="32"/>
      <c r="AF343" s="32"/>
      <c r="AG343" s="32"/>
      <c r="AH343" s="32"/>
      <c r="AI343" s="32"/>
      <c r="AJ343" s="32"/>
      <c r="AK343" s="32"/>
      <c r="AL343" s="32"/>
      <c r="AM343" s="32"/>
      <c r="AN343" s="32"/>
      <c r="AO343" s="32"/>
      <c r="AP343" s="32"/>
    </row>
    <row r="344" spans="1:42" ht="14.25" customHeight="1" x14ac:dyDescent="0.3">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c r="AA344" s="32"/>
      <c r="AB344" s="32"/>
      <c r="AC344" s="32"/>
      <c r="AD344" s="32"/>
      <c r="AE344" s="32"/>
      <c r="AF344" s="32"/>
      <c r="AG344" s="32"/>
      <c r="AH344" s="32"/>
      <c r="AI344" s="32"/>
      <c r="AJ344" s="32"/>
      <c r="AK344" s="32"/>
      <c r="AL344" s="32"/>
      <c r="AM344" s="32"/>
      <c r="AN344" s="32"/>
      <c r="AO344" s="32"/>
      <c r="AP344" s="32"/>
    </row>
    <row r="345" spans="1:42" ht="14.25" customHeight="1" x14ac:dyDescent="0.3">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c r="AA345" s="32"/>
      <c r="AB345" s="32"/>
      <c r="AC345" s="32"/>
      <c r="AD345" s="32"/>
      <c r="AE345" s="32"/>
      <c r="AF345" s="32"/>
      <c r="AG345" s="32"/>
      <c r="AH345" s="32"/>
      <c r="AI345" s="32"/>
      <c r="AJ345" s="32"/>
      <c r="AK345" s="32"/>
      <c r="AL345" s="32"/>
      <c r="AM345" s="32"/>
      <c r="AN345" s="32"/>
      <c r="AO345" s="32"/>
      <c r="AP345" s="32"/>
    </row>
    <row r="346" spans="1:42" ht="14.25" customHeight="1" x14ac:dyDescent="0.3">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c r="AP346" s="32"/>
    </row>
    <row r="347" spans="1:42" ht="14.25" customHeight="1" x14ac:dyDescent="0.3">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c r="AA347" s="32"/>
      <c r="AB347" s="32"/>
      <c r="AC347" s="32"/>
      <c r="AD347" s="32"/>
      <c r="AE347" s="32"/>
      <c r="AF347" s="32"/>
      <c r="AG347" s="32"/>
      <c r="AH347" s="32"/>
      <c r="AI347" s="32"/>
      <c r="AJ347" s="32"/>
      <c r="AK347" s="32"/>
      <c r="AL347" s="32"/>
      <c r="AM347" s="32"/>
      <c r="AN347" s="32"/>
      <c r="AO347" s="32"/>
      <c r="AP347" s="32"/>
    </row>
    <row r="348" spans="1:42" ht="14.25" customHeight="1" x14ac:dyDescent="0.3">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c r="AA348" s="32"/>
      <c r="AB348" s="32"/>
      <c r="AC348" s="32"/>
      <c r="AD348" s="32"/>
      <c r="AE348" s="32"/>
      <c r="AF348" s="32"/>
      <c r="AG348" s="32"/>
      <c r="AH348" s="32"/>
      <c r="AI348" s="32"/>
      <c r="AJ348" s="32"/>
      <c r="AK348" s="32"/>
      <c r="AL348" s="32"/>
      <c r="AM348" s="32"/>
      <c r="AN348" s="32"/>
      <c r="AO348" s="32"/>
      <c r="AP348" s="32"/>
    </row>
    <row r="349" spans="1:42" ht="14.25" customHeight="1" x14ac:dyDescent="0.3">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c r="AA349" s="32"/>
      <c r="AB349" s="32"/>
      <c r="AC349" s="32"/>
      <c r="AD349" s="32"/>
      <c r="AE349" s="32"/>
      <c r="AF349" s="32"/>
      <c r="AG349" s="32"/>
      <c r="AH349" s="32"/>
      <c r="AI349" s="32"/>
      <c r="AJ349" s="32"/>
      <c r="AK349" s="32"/>
      <c r="AL349" s="32"/>
      <c r="AM349" s="32"/>
      <c r="AN349" s="32"/>
      <c r="AO349" s="32"/>
      <c r="AP349" s="32"/>
    </row>
    <row r="350" spans="1:42" ht="14.25" customHeight="1" x14ac:dyDescent="0.3">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c r="AA350" s="32"/>
      <c r="AB350" s="32"/>
      <c r="AC350" s="32"/>
      <c r="AD350" s="32"/>
      <c r="AE350" s="32"/>
      <c r="AF350" s="32"/>
      <c r="AG350" s="32"/>
      <c r="AH350" s="32"/>
      <c r="AI350" s="32"/>
      <c r="AJ350" s="32"/>
      <c r="AK350" s="32"/>
      <c r="AL350" s="32"/>
      <c r="AM350" s="32"/>
      <c r="AN350" s="32"/>
      <c r="AO350" s="32"/>
      <c r="AP350" s="32"/>
    </row>
    <row r="351" spans="1:42" ht="14.25" customHeight="1" x14ac:dyDescent="0.3">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c r="AA351" s="32"/>
      <c r="AB351" s="32"/>
      <c r="AC351" s="32"/>
      <c r="AD351" s="32"/>
      <c r="AE351" s="32"/>
      <c r="AF351" s="32"/>
      <c r="AG351" s="32"/>
      <c r="AH351" s="32"/>
      <c r="AI351" s="32"/>
      <c r="AJ351" s="32"/>
      <c r="AK351" s="32"/>
      <c r="AL351" s="32"/>
      <c r="AM351" s="32"/>
      <c r="AN351" s="32"/>
      <c r="AO351" s="32"/>
      <c r="AP351" s="32"/>
    </row>
    <row r="352" spans="1:42" ht="14.25" customHeight="1" x14ac:dyDescent="0.3">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c r="AA352" s="32"/>
      <c r="AB352" s="32"/>
      <c r="AC352" s="32"/>
      <c r="AD352" s="32"/>
      <c r="AE352" s="32"/>
      <c r="AF352" s="32"/>
      <c r="AG352" s="32"/>
      <c r="AH352" s="32"/>
      <c r="AI352" s="32"/>
      <c r="AJ352" s="32"/>
      <c r="AK352" s="32"/>
      <c r="AL352" s="32"/>
      <c r="AM352" s="32"/>
      <c r="AN352" s="32"/>
      <c r="AO352" s="32"/>
      <c r="AP352" s="32"/>
    </row>
    <row r="353" spans="1:42" ht="14.25" customHeight="1" x14ac:dyDescent="0.3">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c r="AP353" s="32"/>
    </row>
    <row r="354" spans="1:42" ht="14.25" customHeight="1" x14ac:dyDescent="0.3">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c r="AA354" s="32"/>
      <c r="AB354" s="32"/>
      <c r="AC354" s="32"/>
      <c r="AD354" s="32"/>
      <c r="AE354" s="32"/>
      <c r="AF354" s="32"/>
      <c r="AG354" s="32"/>
      <c r="AH354" s="32"/>
      <c r="AI354" s="32"/>
      <c r="AJ354" s="32"/>
      <c r="AK354" s="32"/>
      <c r="AL354" s="32"/>
      <c r="AM354" s="32"/>
      <c r="AN354" s="32"/>
      <c r="AO354" s="32"/>
      <c r="AP354" s="32"/>
    </row>
    <row r="355" spans="1:42" ht="14.25" customHeight="1" x14ac:dyDescent="0.3">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c r="AA355" s="32"/>
      <c r="AB355" s="32"/>
      <c r="AC355" s="32"/>
      <c r="AD355" s="32"/>
      <c r="AE355" s="32"/>
      <c r="AF355" s="32"/>
      <c r="AG355" s="32"/>
      <c r="AH355" s="32"/>
      <c r="AI355" s="32"/>
      <c r="AJ355" s="32"/>
      <c r="AK355" s="32"/>
      <c r="AL355" s="32"/>
      <c r="AM355" s="32"/>
      <c r="AN355" s="32"/>
      <c r="AO355" s="32"/>
      <c r="AP355" s="32"/>
    </row>
    <row r="356" spans="1:42" ht="14.25" customHeight="1" x14ac:dyDescent="0.3">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c r="AA356" s="32"/>
      <c r="AB356" s="32"/>
      <c r="AC356" s="32"/>
      <c r="AD356" s="32"/>
      <c r="AE356" s="32"/>
      <c r="AF356" s="32"/>
      <c r="AG356" s="32"/>
      <c r="AH356" s="32"/>
      <c r="AI356" s="32"/>
      <c r="AJ356" s="32"/>
      <c r="AK356" s="32"/>
      <c r="AL356" s="32"/>
      <c r="AM356" s="32"/>
      <c r="AN356" s="32"/>
      <c r="AO356" s="32"/>
      <c r="AP356" s="32"/>
    </row>
    <row r="357" spans="1:42" ht="14.25" customHeight="1" x14ac:dyDescent="0.3">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c r="AA357" s="32"/>
      <c r="AB357" s="32"/>
      <c r="AC357" s="32"/>
      <c r="AD357" s="32"/>
      <c r="AE357" s="32"/>
      <c r="AF357" s="32"/>
      <c r="AG357" s="32"/>
      <c r="AH357" s="32"/>
      <c r="AI357" s="32"/>
      <c r="AJ357" s="32"/>
      <c r="AK357" s="32"/>
      <c r="AL357" s="32"/>
      <c r="AM357" s="32"/>
      <c r="AN357" s="32"/>
      <c r="AO357" s="32"/>
      <c r="AP357" s="32"/>
    </row>
    <row r="358" spans="1:42" ht="14.25" customHeight="1" x14ac:dyDescent="0.3">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c r="AP358" s="32"/>
    </row>
    <row r="359" spans="1:42" ht="14.25" customHeight="1" x14ac:dyDescent="0.3">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c r="AA359" s="32"/>
      <c r="AB359" s="32"/>
      <c r="AC359" s="32"/>
      <c r="AD359" s="32"/>
      <c r="AE359" s="32"/>
      <c r="AF359" s="32"/>
      <c r="AG359" s="32"/>
      <c r="AH359" s="32"/>
      <c r="AI359" s="32"/>
      <c r="AJ359" s="32"/>
      <c r="AK359" s="32"/>
      <c r="AL359" s="32"/>
      <c r="AM359" s="32"/>
      <c r="AN359" s="32"/>
      <c r="AO359" s="32"/>
      <c r="AP359" s="32"/>
    </row>
    <row r="360" spans="1:42" ht="14.25" customHeight="1" x14ac:dyDescent="0.3">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c r="AA360" s="32"/>
      <c r="AB360" s="32"/>
      <c r="AC360" s="32"/>
      <c r="AD360" s="32"/>
      <c r="AE360" s="32"/>
      <c r="AF360" s="32"/>
      <c r="AG360" s="32"/>
      <c r="AH360" s="32"/>
      <c r="AI360" s="32"/>
      <c r="AJ360" s="32"/>
      <c r="AK360" s="32"/>
      <c r="AL360" s="32"/>
      <c r="AM360" s="32"/>
      <c r="AN360" s="32"/>
      <c r="AO360" s="32"/>
      <c r="AP360" s="32"/>
    </row>
    <row r="361" spans="1:42" ht="14.25" customHeight="1" x14ac:dyDescent="0.3">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c r="AA361" s="32"/>
      <c r="AB361" s="32"/>
      <c r="AC361" s="32"/>
      <c r="AD361" s="32"/>
      <c r="AE361" s="32"/>
      <c r="AF361" s="32"/>
      <c r="AG361" s="32"/>
      <c r="AH361" s="32"/>
      <c r="AI361" s="32"/>
      <c r="AJ361" s="32"/>
      <c r="AK361" s="32"/>
      <c r="AL361" s="32"/>
      <c r="AM361" s="32"/>
      <c r="AN361" s="32"/>
      <c r="AO361" s="32"/>
      <c r="AP361" s="32"/>
    </row>
    <row r="362" spans="1:42" ht="14.25" customHeight="1" x14ac:dyDescent="0.3">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c r="AA362" s="32"/>
      <c r="AB362" s="32"/>
      <c r="AC362" s="32"/>
      <c r="AD362" s="32"/>
      <c r="AE362" s="32"/>
      <c r="AF362" s="32"/>
      <c r="AG362" s="32"/>
      <c r="AH362" s="32"/>
      <c r="AI362" s="32"/>
      <c r="AJ362" s="32"/>
      <c r="AK362" s="32"/>
      <c r="AL362" s="32"/>
      <c r="AM362" s="32"/>
      <c r="AN362" s="32"/>
      <c r="AO362" s="32"/>
      <c r="AP362" s="32"/>
    </row>
    <row r="363" spans="1:42" ht="14.25" customHeight="1" x14ac:dyDescent="0.3">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c r="AP363" s="32"/>
    </row>
    <row r="364" spans="1:42" ht="14.25" customHeight="1" x14ac:dyDescent="0.3">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c r="AA364" s="32"/>
      <c r="AB364" s="32"/>
      <c r="AC364" s="32"/>
      <c r="AD364" s="32"/>
      <c r="AE364" s="32"/>
      <c r="AF364" s="32"/>
      <c r="AG364" s="32"/>
      <c r="AH364" s="32"/>
      <c r="AI364" s="32"/>
      <c r="AJ364" s="32"/>
      <c r="AK364" s="32"/>
      <c r="AL364" s="32"/>
      <c r="AM364" s="32"/>
      <c r="AN364" s="32"/>
      <c r="AO364" s="32"/>
      <c r="AP364" s="32"/>
    </row>
    <row r="365" spans="1:42" ht="14.25" customHeight="1" x14ac:dyDescent="0.3">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c r="AA365" s="32"/>
      <c r="AB365" s="32"/>
      <c r="AC365" s="32"/>
      <c r="AD365" s="32"/>
      <c r="AE365" s="32"/>
      <c r="AF365" s="32"/>
      <c r="AG365" s="32"/>
      <c r="AH365" s="32"/>
      <c r="AI365" s="32"/>
      <c r="AJ365" s="32"/>
      <c r="AK365" s="32"/>
      <c r="AL365" s="32"/>
      <c r="AM365" s="32"/>
      <c r="AN365" s="32"/>
      <c r="AO365" s="32"/>
      <c r="AP365" s="32"/>
    </row>
    <row r="366" spans="1:42" ht="14.25" customHeight="1" x14ac:dyDescent="0.3">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c r="AA366" s="32"/>
      <c r="AB366" s="32"/>
      <c r="AC366" s="32"/>
      <c r="AD366" s="32"/>
      <c r="AE366" s="32"/>
      <c r="AF366" s="32"/>
      <c r="AG366" s="32"/>
      <c r="AH366" s="32"/>
      <c r="AI366" s="32"/>
      <c r="AJ366" s="32"/>
      <c r="AK366" s="32"/>
      <c r="AL366" s="32"/>
      <c r="AM366" s="32"/>
      <c r="AN366" s="32"/>
      <c r="AO366" s="32"/>
      <c r="AP366" s="32"/>
    </row>
    <row r="367" spans="1:42" ht="14.25" customHeight="1" x14ac:dyDescent="0.3">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row>
    <row r="368" spans="1:42" ht="14.25" customHeight="1" x14ac:dyDescent="0.3">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c r="AA368" s="32"/>
      <c r="AB368" s="32"/>
      <c r="AC368" s="32"/>
      <c r="AD368" s="32"/>
      <c r="AE368" s="32"/>
      <c r="AF368" s="32"/>
      <c r="AG368" s="32"/>
      <c r="AH368" s="32"/>
      <c r="AI368" s="32"/>
      <c r="AJ368" s="32"/>
      <c r="AK368" s="32"/>
      <c r="AL368" s="32"/>
      <c r="AM368" s="32"/>
      <c r="AN368" s="32"/>
      <c r="AO368" s="32"/>
      <c r="AP368" s="32"/>
    </row>
    <row r="369" spans="1:42" ht="14.25" customHeight="1" x14ac:dyDescent="0.3">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c r="AA369" s="32"/>
      <c r="AB369" s="32"/>
      <c r="AC369" s="32"/>
      <c r="AD369" s="32"/>
      <c r="AE369" s="32"/>
      <c r="AF369" s="32"/>
      <c r="AG369" s="32"/>
      <c r="AH369" s="32"/>
      <c r="AI369" s="32"/>
      <c r="AJ369" s="32"/>
      <c r="AK369" s="32"/>
      <c r="AL369" s="32"/>
      <c r="AM369" s="32"/>
      <c r="AN369" s="32"/>
      <c r="AO369" s="32"/>
      <c r="AP369" s="32"/>
    </row>
    <row r="370" spans="1:42" ht="14.25" customHeight="1" x14ac:dyDescent="0.3">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c r="AA370" s="32"/>
      <c r="AB370" s="32"/>
      <c r="AC370" s="32"/>
      <c r="AD370" s="32"/>
      <c r="AE370" s="32"/>
      <c r="AF370" s="32"/>
      <c r="AG370" s="32"/>
      <c r="AH370" s="32"/>
      <c r="AI370" s="32"/>
      <c r="AJ370" s="32"/>
      <c r="AK370" s="32"/>
      <c r="AL370" s="32"/>
      <c r="AM370" s="32"/>
      <c r="AN370" s="32"/>
      <c r="AO370" s="32"/>
      <c r="AP370" s="32"/>
    </row>
    <row r="371" spans="1:42" ht="14.25" customHeight="1" x14ac:dyDescent="0.3">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c r="AA371" s="32"/>
      <c r="AB371" s="32"/>
      <c r="AC371" s="32"/>
      <c r="AD371" s="32"/>
      <c r="AE371" s="32"/>
      <c r="AF371" s="32"/>
      <c r="AG371" s="32"/>
      <c r="AH371" s="32"/>
      <c r="AI371" s="32"/>
      <c r="AJ371" s="32"/>
      <c r="AK371" s="32"/>
      <c r="AL371" s="32"/>
      <c r="AM371" s="32"/>
      <c r="AN371" s="32"/>
      <c r="AO371" s="32"/>
      <c r="AP371" s="32"/>
    </row>
    <row r="372" spans="1:42" ht="14.25" customHeight="1" x14ac:dyDescent="0.3">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c r="AA372" s="32"/>
      <c r="AB372" s="32"/>
      <c r="AC372" s="32"/>
      <c r="AD372" s="32"/>
      <c r="AE372" s="32"/>
      <c r="AF372" s="32"/>
      <c r="AG372" s="32"/>
      <c r="AH372" s="32"/>
      <c r="AI372" s="32"/>
      <c r="AJ372" s="32"/>
      <c r="AK372" s="32"/>
      <c r="AL372" s="32"/>
      <c r="AM372" s="32"/>
      <c r="AN372" s="32"/>
      <c r="AO372" s="32"/>
      <c r="AP372" s="32"/>
    </row>
    <row r="373" spans="1:42" ht="14.25" customHeight="1" x14ac:dyDescent="0.3">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c r="AA373" s="32"/>
      <c r="AB373" s="32"/>
      <c r="AC373" s="32"/>
      <c r="AD373" s="32"/>
      <c r="AE373" s="32"/>
      <c r="AF373" s="32"/>
      <c r="AG373" s="32"/>
      <c r="AH373" s="32"/>
      <c r="AI373" s="32"/>
      <c r="AJ373" s="32"/>
      <c r="AK373" s="32"/>
      <c r="AL373" s="32"/>
      <c r="AM373" s="32"/>
      <c r="AN373" s="32"/>
      <c r="AO373" s="32"/>
      <c r="AP373" s="32"/>
    </row>
    <row r="374" spans="1:42" ht="14.25" customHeight="1" x14ac:dyDescent="0.3">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c r="AA374" s="32"/>
      <c r="AB374" s="32"/>
      <c r="AC374" s="32"/>
      <c r="AD374" s="32"/>
      <c r="AE374" s="32"/>
      <c r="AF374" s="32"/>
      <c r="AG374" s="32"/>
      <c r="AH374" s="32"/>
      <c r="AI374" s="32"/>
      <c r="AJ374" s="32"/>
      <c r="AK374" s="32"/>
      <c r="AL374" s="32"/>
      <c r="AM374" s="32"/>
      <c r="AN374" s="32"/>
      <c r="AO374" s="32"/>
      <c r="AP374" s="32"/>
    </row>
    <row r="375" spans="1:42" ht="14.25" customHeight="1" x14ac:dyDescent="0.3">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c r="AA375" s="32"/>
      <c r="AB375" s="32"/>
      <c r="AC375" s="32"/>
      <c r="AD375" s="32"/>
      <c r="AE375" s="32"/>
      <c r="AF375" s="32"/>
      <c r="AG375" s="32"/>
      <c r="AH375" s="32"/>
      <c r="AI375" s="32"/>
      <c r="AJ375" s="32"/>
      <c r="AK375" s="32"/>
      <c r="AL375" s="32"/>
      <c r="AM375" s="32"/>
      <c r="AN375" s="32"/>
      <c r="AO375" s="32"/>
      <c r="AP375" s="32"/>
    </row>
    <row r="376" spans="1:42" ht="14.25" customHeight="1" x14ac:dyDescent="0.3">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c r="AA376" s="32"/>
      <c r="AB376" s="32"/>
      <c r="AC376" s="32"/>
      <c r="AD376" s="32"/>
      <c r="AE376" s="32"/>
      <c r="AF376" s="32"/>
      <c r="AG376" s="32"/>
      <c r="AH376" s="32"/>
      <c r="AI376" s="32"/>
      <c r="AJ376" s="32"/>
      <c r="AK376" s="32"/>
      <c r="AL376" s="32"/>
      <c r="AM376" s="32"/>
      <c r="AN376" s="32"/>
      <c r="AO376" s="32"/>
      <c r="AP376" s="32"/>
    </row>
    <row r="377" spans="1:42" ht="14.25" customHeight="1" x14ac:dyDescent="0.3">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c r="AA377" s="32"/>
      <c r="AB377" s="32"/>
      <c r="AC377" s="32"/>
      <c r="AD377" s="32"/>
      <c r="AE377" s="32"/>
      <c r="AF377" s="32"/>
      <c r="AG377" s="32"/>
      <c r="AH377" s="32"/>
      <c r="AI377" s="32"/>
      <c r="AJ377" s="32"/>
      <c r="AK377" s="32"/>
      <c r="AL377" s="32"/>
      <c r="AM377" s="32"/>
      <c r="AN377" s="32"/>
      <c r="AO377" s="32"/>
      <c r="AP377" s="32"/>
    </row>
    <row r="378" spans="1:42" ht="14.25" customHeight="1" x14ac:dyDescent="0.3">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c r="AA378" s="32"/>
      <c r="AB378" s="32"/>
      <c r="AC378" s="32"/>
      <c r="AD378" s="32"/>
      <c r="AE378" s="32"/>
      <c r="AF378" s="32"/>
      <c r="AG378" s="32"/>
      <c r="AH378" s="32"/>
      <c r="AI378" s="32"/>
      <c r="AJ378" s="32"/>
      <c r="AK378" s="32"/>
      <c r="AL378" s="32"/>
      <c r="AM378" s="32"/>
      <c r="AN378" s="32"/>
      <c r="AO378" s="32"/>
      <c r="AP378" s="32"/>
    </row>
    <row r="379" spans="1:42" ht="14.25" customHeight="1" x14ac:dyDescent="0.3">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c r="AA379" s="32"/>
      <c r="AB379" s="32"/>
      <c r="AC379" s="32"/>
      <c r="AD379" s="32"/>
      <c r="AE379" s="32"/>
      <c r="AF379" s="32"/>
      <c r="AG379" s="32"/>
      <c r="AH379" s="32"/>
      <c r="AI379" s="32"/>
      <c r="AJ379" s="32"/>
      <c r="AK379" s="32"/>
      <c r="AL379" s="32"/>
      <c r="AM379" s="32"/>
      <c r="AN379" s="32"/>
      <c r="AO379" s="32"/>
      <c r="AP379" s="32"/>
    </row>
    <row r="380" spans="1:42" ht="14.25" customHeight="1" x14ac:dyDescent="0.3">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c r="AA380" s="32"/>
      <c r="AB380" s="32"/>
      <c r="AC380" s="32"/>
      <c r="AD380" s="32"/>
      <c r="AE380" s="32"/>
      <c r="AF380" s="32"/>
      <c r="AG380" s="32"/>
      <c r="AH380" s="32"/>
      <c r="AI380" s="32"/>
      <c r="AJ380" s="32"/>
      <c r="AK380" s="32"/>
      <c r="AL380" s="32"/>
      <c r="AM380" s="32"/>
      <c r="AN380" s="32"/>
      <c r="AO380" s="32"/>
      <c r="AP380" s="32"/>
    </row>
    <row r="381" spans="1:42" ht="14.25" customHeight="1" x14ac:dyDescent="0.3">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row>
    <row r="382" spans="1:42" ht="14.25" customHeight="1" x14ac:dyDescent="0.3">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c r="AA382" s="32"/>
      <c r="AB382" s="32"/>
      <c r="AC382" s="32"/>
      <c r="AD382" s="32"/>
      <c r="AE382" s="32"/>
      <c r="AF382" s="32"/>
      <c r="AG382" s="32"/>
      <c r="AH382" s="32"/>
      <c r="AI382" s="32"/>
      <c r="AJ382" s="32"/>
      <c r="AK382" s="32"/>
      <c r="AL382" s="32"/>
      <c r="AM382" s="32"/>
      <c r="AN382" s="32"/>
      <c r="AO382" s="32"/>
      <c r="AP382" s="32"/>
    </row>
    <row r="383" spans="1:42" ht="14.25" customHeight="1" x14ac:dyDescent="0.3">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c r="AA383" s="32"/>
      <c r="AB383" s="32"/>
      <c r="AC383" s="32"/>
      <c r="AD383" s="32"/>
      <c r="AE383" s="32"/>
      <c r="AF383" s="32"/>
      <c r="AG383" s="32"/>
      <c r="AH383" s="32"/>
      <c r="AI383" s="32"/>
      <c r="AJ383" s="32"/>
      <c r="AK383" s="32"/>
      <c r="AL383" s="32"/>
      <c r="AM383" s="32"/>
      <c r="AN383" s="32"/>
      <c r="AO383" s="32"/>
      <c r="AP383" s="32"/>
    </row>
    <row r="384" spans="1:42" ht="14.25" customHeight="1" x14ac:dyDescent="0.3">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c r="AA384" s="32"/>
      <c r="AB384" s="32"/>
      <c r="AC384" s="32"/>
      <c r="AD384" s="32"/>
      <c r="AE384" s="32"/>
      <c r="AF384" s="32"/>
      <c r="AG384" s="32"/>
      <c r="AH384" s="32"/>
      <c r="AI384" s="32"/>
      <c r="AJ384" s="32"/>
      <c r="AK384" s="32"/>
      <c r="AL384" s="32"/>
      <c r="AM384" s="32"/>
      <c r="AN384" s="32"/>
      <c r="AO384" s="32"/>
      <c r="AP384" s="32"/>
    </row>
    <row r="385" spans="1:42" ht="14.25" customHeight="1" x14ac:dyDescent="0.3">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c r="AA385" s="32"/>
      <c r="AB385" s="32"/>
      <c r="AC385" s="32"/>
      <c r="AD385" s="32"/>
      <c r="AE385" s="32"/>
      <c r="AF385" s="32"/>
      <c r="AG385" s="32"/>
      <c r="AH385" s="32"/>
      <c r="AI385" s="32"/>
      <c r="AJ385" s="32"/>
      <c r="AK385" s="32"/>
      <c r="AL385" s="32"/>
      <c r="AM385" s="32"/>
      <c r="AN385" s="32"/>
      <c r="AO385" s="32"/>
      <c r="AP385" s="32"/>
    </row>
    <row r="386" spans="1:42" ht="14.25" customHeight="1" x14ac:dyDescent="0.3">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c r="AA386" s="32"/>
      <c r="AB386" s="32"/>
      <c r="AC386" s="32"/>
      <c r="AD386" s="32"/>
      <c r="AE386" s="32"/>
      <c r="AF386" s="32"/>
      <c r="AG386" s="32"/>
      <c r="AH386" s="32"/>
      <c r="AI386" s="32"/>
      <c r="AJ386" s="32"/>
      <c r="AK386" s="32"/>
      <c r="AL386" s="32"/>
      <c r="AM386" s="32"/>
      <c r="AN386" s="32"/>
      <c r="AO386" s="32"/>
      <c r="AP386" s="32"/>
    </row>
    <row r="387" spans="1:42" ht="14.25" customHeight="1" x14ac:dyDescent="0.3">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c r="AA387" s="32"/>
      <c r="AB387" s="32"/>
      <c r="AC387" s="32"/>
      <c r="AD387" s="32"/>
      <c r="AE387" s="32"/>
      <c r="AF387" s="32"/>
      <c r="AG387" s="32"/>
      <c r="AH387" s="32"/>
      <c r="AI387" s="32"/>
      <c r="AJ387" s="32"/>
      <c r="AK387" s="32"/>
      <c r="AL387" s="32"/>
      <c r="AM387" s="32"/>
      <c r="AN387" s="32"/>
      <c r="AO387" s="32"/>
      <c r="AP387" s="32"/>
    </row>
    <row r="388" spans="1:42" ht="14.25" customHeight="1" x14ac:dyDescent="0.3">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c r="AA388" s="32"/>
      <c r="AB388" s="32"/>
      <c r="AC388" s="32"/>
      <c r="AD388" s="32"/>
      <c r="AE388" s="32"/>
      <c r="AF388" s="32"/>
      <c r="AG388" s="32"/>
      <c r="AH388" s="32"/>
      <c r="AI388" s="32"/>
      <c r="AJ388" s="32"/>
      <c r="AK388" s="32"/>
      <c r="AL388" s="32"/>
      <c r="AM388" s="32"/>
      <c r="AN388" s="32"/>
      <c r="AO388" s="32"/>
      <c r="AP388" s="32"/>
    </row>
    <row r="389" spans="1:42" ht="14.25" customHeight="1" x14ac:dyDescent="0.3">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c r="AA389" s="32"/>
      <c r="AB389" s="32"/>
      <c r="AC389" s="32"/>
      <c r="AD389" s="32"/>
      <c r="AE389" s="32"/>
      <c r="AF389" s="32"/>
      <c r="AG389" s="32"/>
      <c r="AH389" s="32"/>
      <c r="AI389" s="32"/>
      <c r="AJ389" s="32"/>
      <c r="AK389" s="32"/>
      <c r="AL389" s="32"/>
      <c r="AM389" s="32"/>
      <c r="AN389" s="32"/>
      <c r="AO389" s="32"/>
      <c r="AP389" s="32"/>
    </row>
    <row r="390" spans="1:42" ht="14.25" customHeight="1" x14ac:dyDescent="0.3">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c r="AA390" s="32"/>
      <c r="AB390" s="32"/>
      <c r="AC390" s="32"/>
      <c r="AD390" s="32"/>
      <c r="AE390" s="32"/>
      <c r="AF390" s="32"/>
      <c r="AG390" s="32"/>
      <c r="AH390" s="32"/>
      <c r="AI390" s="32"/>
      <c r="AJ390" s="32"/>
      <c r="AK390" s="32"/>
      <c r="AL390" s="32"/>
      <c r="AM390" s="32"/>
      <c r="AN390" s="32"/>
      <c r="AO390" s="32"/>
      <c r="AP390" s="32"/>
    </row>
    <row r="391" spans="1:42" ht="14.25" customHeight="1" x14ac:dyDescent="0.3">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c r="AA391" s="32"/>
      <c r="AB391" s="32"/>
      <c r="AC391" s="32"/>
      <c r="AD391" s="32"/>
      <c r="AE391" s="32"/>
      <c r="AF391" s="32"/>
      <c r="AG391" s="32"/>
      <c r="AH391" s="32"/>
      <c r="AI391" s="32"/>
      <c r="AJ391" s="32"/>
      <c r="AK391" s="32"/>
      <c r="AL391" s="32"/>
      <c r="AM391" s="32"/>
      <c r="AN391" s="32"/>
      <c r="AO391" s="32"/>
      <c r="AP391" s="32"/>
    </row>
    <row r="392" spans="1:42" ht="14.25" customHeight="1" x14ac:dyDescent="0.3">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c r="AA392" s="32"/>
      <c r="AB392" s="32"/>
      <c r="AC392" s="32"/>
      <c r="AD392" s="32"/>
      <c r="AE392" s="32"/>
      <c r="AF392" s="32"/>
      <c r="AG392" s="32"/>
      <c r="AH392" s="32"/>
      <c r="AI392" s="32"/>
      <c r="AJ392" s="32"/>
      <c r="AK392" s="32"/>
      <c r="AL392" s="32"/>
      <c r="AM392" s="32"/>
      <c r="AN392" s="32"/>
      <c r="AO392" s="32"/>
      <c r="AP392" s="32"/>
    </row>
    <row r="393" spans="1:42" ht="14.25" customHeight="1" x14ac:dyDescent="0.3">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c r="AA393" s="32"/>
      <c r="AB393" s="32"/>
      <c r="AC393" s="32"/>
      <c r="AD393" s="32"/>
      <c r="AE393" s="32"/>
      <c r="AF393" s="32"/>
      <c r="AG393" s="32"/>
      <c r="AH393" s="32"/>
      <c r="AI393" s="32"/>
      <c r="AJ393" s="32"/>
      <c r="AK393" s="32"/>
      <c r="AL393" s="32"/>
      <c r="AM393" s="32"/>
      <c r="AN393" s="32"/>
      <c r="AO393" s="32"/>
      <c r="AP393" s="32"/>
    </row>
    <row r="394" spans="1:42" ht="14.25" customHeight="1" x14ac:dyDescent="0.3">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c r="AA394" s="32"/>
      <c r="AB394" s="32"/>
      <c r="AC394" s="32"/>
      <c r="AD394" s="32"/>
      <c r="AE394" s="32"/>
      <c r="AF394" s="32"/>
      <c r="AG394" s="32"/>
      <c r="AH394" s="32"/>
      <c r="AI394" s="32"/>
      <c r="AJ394" s="32"/>
      <c r="AK394" s="32"/>
      <c r="AL394" s="32"/>
      <c r="AM394" s="32"/>
      <c r="AN394" s="32"/>
      <c r="AO394" s="32"/>
      <c r="AP394" s="32"/>
    </row>
    <row r="395" spans="1:42" ht="14.25" customHeight="1" x14ac:dyDescent="0.3">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c r="AA395" s="32"/>
      <c r="AB395" s="32"/>
      <c r="AC395" s="32"/>
      <c r="AD395" s="32"/>
      <c r="AE395" s="32"/>
      <c r="AF395" s="32"/>
      <c r="AG395" s="32"/>
      <c r="AH395" s="32"/>
      <c r="AI395" s="32"/>
      <c r="AJ395" s="32"/>
      <c r="AK395" s="32"/>
      <c r="AL395" s="32"/>
      <c r="AM395" s="32"/>
      <c r="AN395" s="32"/>
      <c r="AO395" s="32"/>
      <c r="AP395" s="32"/>
    </row>
    <row r="396" spans="1:42" ht="14.25" customHeight="1" x14ac:dyDescent="0.3">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c r="AA396" s="32"/>
      <c r="AB396" s="32"/>
      <c r="AC396" s="32"/>
      <c r="AD396" s="32"/>
      <c r="AE396" s="32"/>
      <c r="AF396" s="32"/>
      <c r="AG396" s="32"/>
      <c r="AH396" s="32"/>
      <c r="AI396" s="32"/>
      <c r="AJ396" s="32"/>
      <c r="AK396" s="32"/>
      <c r="AL396" s="32"/>
      <c r="AM396" s="32"/>
      <c r="AN396" s="32"/>
      <c r="AO396" s="32"/>
      <c r="AP396" s="32"/>
    </row>
    <row r="397" spans="1:42" ht="14.25" customHeight="1" x14ac:dyDescent="0.3">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c r="AA397" s="32"/>
      <c r="AB397" s="32"/>
      <c r="AC397" s="32"/>
      <c r="AD397" s="32"/>
      <c r="AE397" s="32"/>
      <c r="AF397" s="32"/>
      <c r="AG397" s="32"/>
      <c r="AH397" s="32"/>
      <c r="AI397" s="32"/>
      <c r="AJ397" s="32"/>
      <c r="AK397" s="32"/>
      <c r="AL397" s="32"/>
      <c r="AM397" s="32"/>
      <c r="AN397" s="32"/>
      <c r="AO397" s="32"/>
      <c r="AP397" s="32"/>
    </row>
    <row r="398" spans="1:42" ht="14.25" customHeight="1" x14ac:dyDescent="0.3">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c r="AA398" s="32"/>
      <c r="AB398" s="32"/>
      <c r="AC398" s="32"/>
      <c r="AD398" s="32"/>
      <c r="AE398" s="32"/>
      <c r="AF398" s="32"/>
      <c r="AG398" s="32"/>
      <c r="AH398" s="32"/>
      <c r="AI398" s="32"/>
      <c r="AJ398" s="32"/>
      <c r="AK398" s="32"/>
      <c r="AL398" s="32"/>
      <c r="AM398" s="32"/>
      <c r="AN398" s="32"/>
      <c r="AO398" s="32"/>
      <c r="AP398" s="32"/>
    </row>
    <row r="399" spans="1:42" ht="14.25" customHeight="1" x14ac:dyDescent="0.3">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c r="AA399" s="32"/>
      <c r="AB399" s="32"/>
      <c r="AC399" s="32"/>
      <c r="AD399" s="32"/>
      <c r="AE399" s="32"/>
      <c r="AF399" s="32"/>
      <c r="AG399" s="32"/>
      <c r="AH399" s="32"/>
      <c r="AI399" s="32"/>
      <c r="AJ399" s="32"/>
      <c r="AK399" s="32"/>
      <c r="AL399" s="32"/>
      <c r="AM399" s="32"/>
      <c r="AN399" s="32"/>
      <c r="AO399" s="32"/>
      <c r="AP399" s="32"/>
    </row>
    <row r="400" spans="1:42" ht="14.25" customHeight="1" x14ac:dyDescent="0.3">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c r="AA400" s="32"/>
      <c r="AB400" s="32"/>
      <c r="AC400" s="32"/>
      <c r="AD400" s="32"/>
      <c r="AE400" s="32"/>
      <c r="AF400" s="32"/>
      <c r="AG400" s="32"/>
      <c r="AH400" s="32"/>
      <c r="AI400" s="32"/>
      <c r="AJ400" s="32"/>
      <c r="AK400" s="32"/>
      <c r="AL400" s="32"/>
      <c r="AM400" s="32"/>
      <c r="AN400" s="32"/>
      <c r="AO400" s="32"/>
      <c r="AP400" s="32"/>
    </row>
    <row r="401" spans="1:42" ht="14.25" customHeight="1" x14ac:dyDescent="0.3">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c r="AA401" s="32"/>
      <c r="AB401" s="32"/>
      <c r="AC401" s="32"/>
      <c r="AD401" s="32"/>
      <c r="AE401" s="32"/>
      <c r="AF401" s="32"/>
      <c r="AG401" s="32"/>
      <c r="AH401" s="32"/>
      <c r="AI401" s="32"/>
      <c r="AJ401" s="32"/>
      <c r="AK401" s="32"/>
      <c r="AL401" s="32"/>
      <c r="AM401" s="32"/>
      <c r="AN401" s="32"/>
      <c r="AO401" s="32"/>
      <c r="AP401" s="32"/>
    </row>
    <row r="402" spans="1:42" ht="14.25" customHeight="1" x14ac:dyDescent="0.3">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c r="AP402" s="32"/>
    </row>
    <row r="403" spans="1:42" ht="14.25" customHeight="1" x14ac:dyDescent="0.3">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c r="AA403" s="32"/>
      <c r="AB403" s="32"/>
      <c r="AC403" s="32"/>
      <c r="AD403" s="32"/>
      <c r="AE403" s="32"/>
      <c r="AF403" s="32"/>
      <c r="AG403" s="32"/>
      <c r="AH403" s="32"/>
      <c r="AI403" s="32"/>
      <c r="AJ403" s="32"/>
      <c r="AK403" s="32"/>
      <c r="AL403" s="32"/>
      <c r="AM403" s="32"/>
      <c r="AN403" s="32"/>
      <c r="AO403" s="32"/>
      <c r="AP403" s="32"/>
    </row>
    <row r="404" spans="1:42" ht="14.25" customHeight="1" x14ac:dyDescent="0.3">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c r="AA404" s="32"/>
      <c r="AB404" s="32"/>
      <c r="AC404" s="32"/>
      <c r="AD404" s="32"/>
      <c r="AE404" s="32"/>
      <c r="AF404" s="32"/>
      <c r="AG404" s="32"/>
      <c r="AH404" s="32"/>
      <c r="AI404" s="32"/>
      <c r="AJ404" s="32"/>
      <c r="AK404" s="32"/>
      <c r="AL404" s="32"/>
      <c r="AM404" s="32"/>
      <c r="AN404" s="32"/>
      <c r="AO404" s="32"/>
      <c r="AP404" s="32"/>
    </row>
    <row r="405" spans="1:42" ht="14.25" customHeight="1" x14ac:dyDescent="0.3">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c r="AA405" s="32"/>
      <c r="AB405" s="32"/>
      <c r="AC405" s="32"/>
      <c r="AD405" s="32"/>
      <c r="AE405" s="32"/>
      <c r="AF405" s="32"/>
      <c r="AG405" s="32"/>
      <c r="AH405" s="32"/>
      <c r="AI405" s="32"/>
      <c r="AJ405" s="32"/>
      <c r="AK405" s="32"/>
      <c r="AL405" s="32"/>
      <c r="AM405" s="32"/>
      <c r="AN405" s="32"/>
      <c r="AO405" s="32"/>
      <c r="AP405" s="32"/>
    </row>
    <row r="406" spans="1:42" ht="14.25" customHeight="1" x14ac:dyDescent="0.3">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c r="AA406" s="32"/>
      <c r="AB406" s="32"/>
      <c r="AC406" s="32"/>
      <c r="AD406" s="32"/>
      <c r="AE406" s="32"/>
      <c r="AF406" s="32"/>
      <c r="AG406" s="32"/>
      <c r="AH406" s="32"/>
      <c r="AI406" s="32"/>
      <c r="AJ406" s="32"/>
      <c r="AK406" s="32"/>
      <c r="AL406" s="32"/>
      <c r="AM406" s="32"/>
      <c r="AN406" s="32"/>
      <c r="AO406" s="32"/>
      <c r="AP406" s="32"/>
    </row>
    <row r="407" spans="1:42" ht="14.25" customHeight="1" x14ac:dyDescent="0.3">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c r="AA407" s="32"/>
      <c r="AB407" s="32"/>
      <c r="AC407" s="32"/>
      <c r="AD407" s="32"/>
      <c r="AE407" s="32"/>
      <c r="AF407" s="32"/>
      <c r="AG407" s="32"/>
      <c r="AH407" s="32"/>
      <c r="AI407" s="32"/>
      <c r="AJ407" s="32"/>
      <c r="AK407" s="32"/>
      <c r="AL407" s="32"/>
      <c r="AM407" s="32"/>
      <c r="AN407" s="32"/>
      <c r="AO407" s="32"/>
      <c r="AP407" s="32"/>
    </row>
    <row r="408" spans="1:42" ht="14.25" customHeight="1" x14ac:dyDescent="0.3">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c r="AA408" s="32"/>
      <c r="AB408" s="32"/>
      <c r="AC408" s="32"/>
      <c r="AD408" s="32"/>
      <c r="AE408" s="32"/>
      <c r="AF408" s="32"/>
      <c r="AG408" s="32"/>
      <c r="AH408" s="32"/>
      <c r="AI408" s="32"/>
      <c r="AJ408" s="32"/>
      <c r="AK408" s="32"/>
      <c r="AL408" s="32"/>
      <c r="AM408" s="32"/>
      <c r="AN408" s="32"/>
      <c r="AO408" s="32"/>
      <c r="AP408" s="32"/>
    </row>
    <row r="409" spans="1:42" ht="14.25" customHeight="1" x14ac:dyDescent="0.3">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c r="AA409" s="32"/>
      <c r="AB409" s="32"/>
      <c r="AC409" s="32"/>
      <c r="AD409" s="32"/>
      <c r="AE409" s="32"/>
      <c r="AF409" s="32"/>
      <c r="AG409" s="32"/>
      <c r="AH409" s="32"/>
      <c r="AI409" s="32"/>
      <c r="AJ409" s="32"/>
      <c r="AK409" s="32"/>
      <c r="AL409" s="32"/>
      <c r="AM409" s="32"/>
      <c r="AN409" s="32"/>
      <c r="AO409" s="32"/>
      <c r="AP409" s="32"/>
    </row>
    <row r="410" spans="1:42" ht="14.25" customHeight="1" x14ac:dyDescent="0.3">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c r="AA410" s="32"/>
      <c r="AB410" s="32"/>
      <c r="AC410" s="32"/>
      <c r="AD410" s="32"/>
      <c r="AE410" s="32"/>
      <c r="AF410" s="32"/>
      <c r="AG410" s="32"/>
      <c r="AH410" s="32"/>
      <c r="AI410" s="32"/>
      <c r="AJ410" s="32"/>
      <c r="AK410" s="32"/>
      <c r="AL410" s="32"/>
      <c r="AM410" s="32"/>
      <c r="AN410" s="32"/>
      <c r="AO410" s="32"/>
      <c r="AP410" s="32"/>
    </row>
    <row r="411" spans="1:42" ht="14.25" customHeight="1" x14ac:dyDescent="0.3">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c r="AA411" s="32"/>
      <c r="AB411" s="32"/>
      <c r="AC411" s="32"/>
      <c r="AD411" s="32"/>
      <c r="AE411" s="32"/>
      <c r="AF411" s="32"/>
      <c r="AG411" s="32"/>
      <c r="AH411" s="32"/>
      <c r="AI411" s="32"/>
      <c r="AJ411" s="32"/>
      <c r="AK411" s="32"/>
      <c r="AL411" s="32"/>
      <c r="AM411" s="32"/>
      <c r="AN411" s="32"/>
      <c r="AO411" s="32"/>
      <c r="AP411" s="32"/>
    </row>
    <row r="412" spans="1:42" ht="14.25" customHeight="1" x14ac:dyDescent="0.3">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c r="AA412" s="32"/>
      <c r="AB412" s="32"/>
      <c r="AC412" s="32"/>
      <c r="AD412" s="32"/>
      <c r="AE412" s="32"/>
      <c r="AF412" s="32"/>
      <c r="AG412" s="32"/>
      <c r="AH412" s="32"/>
      <c r="AI412" s="32"/>
      <c r="AJ412" s="32"/>
      <c r="AK412" s="32"/>
      <c r="AL412" s="32"/>
      <c r="AM412" s="32"/>
      <c r="AN412" s="32"/>
      <c r="AO412" s="32"/>
      <c r="AP412" s="32"/>
    </row>
    <row r="413" spans="1:42" ht="14.25" customHeight="1" x14ac:dyDescent="0.3">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c r="AA413" s="32"/>
      <c r="AB413" s="32"/>
      <c r="AC413" s="32"/>
      <c r="AD413" s="32"/>
      <c r="AE413" s="32"/>
      <c r="AF413" s="32"/>
      <c r="AG413" s="32"/>
      <c r="AH413" s="32"/>
      <c r="AI413" s="32"/>
      <c r="AJ413" s="32"/>
      <c r="AK413" s="32"/>
      <c r="AL413" s="32"/>
      <c r="AM413" s="32"/>
      <c r="AN413" s="32"/>
      <c r="AO413" s="32"/>
      <c r="AP413" s="32"/>
    </row>
    <row r="414" spans="1:42" ht="14.25" customHeight="1" x14ac:dyDescent="0.3">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c r="AA414" s="32"/>
      <c r="AB414" s="32"/>
      <c r="AC414" s="32"/>
      <c r="AD414" s="32"/>
      <c r="AE414" s="32"/>
      <c r="AF414" s="32"/>
      <c r="AG414" s="32"/>
      <c r="AH414" s="32"/>
      <c r="AI414" s="32"/>
      <c r="AJ414" s="32"/>
      <c r="AK414" s="32"/>
      <c r="AL414" s="32"/>
      <c r="AM414" s="32"/>
      <c r="AN414" s="32"/>
      <c r="AO414" s="32"/>
      <c r="AP414" s="32"/>
    </row>
    <row r="415" spans="1:42" ht="14.25" customHeight="1" x14ac:dyDescent="0.3">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c r="AA415" s="32"/>
      <c r="AB415" s="32"/>
      <c r="AC415" s="32"/>
      <c r="AD415" s="32"/>
      <c r="AE415" s="32"/>
      <c r="AF415" s="32"/>
      <c r="AG415" s="32"/>
      <c r="AH415" s="32"/>
      <c r="AI415" s="32"/>
      <c r="AJ415" s="32"/>
      <c r="AK415" s="32"/>
      <c r="AL415" s="32"/>
      <c r="AM415" s="32"/>
      <c r="AN415" s="32"/>
      <c r="AO415" s="32"/>
      <c r="AP415" s="32"/>
    </row>
    <row r="416" spans="1:42" ht="14.25" customHeight="1" x14ac:dyDescent="0.3">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c r="AA416" s="32"/>
      <c r="AB416" s="32"/>
      <c r="AC416" s="32"/>
      <c r="AD416" s="32"/>
      <c r="AE416" s="32"/>
      <c r="AF416" s="32"/>
      <c r="AG416" s="32"/>
      <c r="AH416" s="32"/>
      <c r="AI416" s="32"/>
      <c r="AJ416" s="32"/>
      <c r="AK416" s="32"/>
      <c r="AL416" s="32"/>
      <c r="AM416" s="32"/>
      <c r="AN416" s="32"/>
      <c r="AO416" s="32"/>
      <c r="AP416" s="32"/>
    </row>
    <row r="417" spans="1:42" ht="14.25" customHeight="1" x14ac:dyDescent="0.3">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c r="AA417" s="32"/>
      <c r="AB417" s="32"/>
      <c r="AC417" s="32"/>
      <c r="AD417" s="32"/>
      <c r="AE417" s="32"/>
      <c r="AF417" s="32"/>
      <c r="AG417" s="32"/>
      <c r="AH417" s="32"/>
      <c r="AI417" s="32"/>
      <c r="AJ417" s="32"/>
      <c r="AK417" s="32"/>
      <c r="AL417" s="32"/>
      <c r="AM417" s="32"/>
      <c r="AN417" s="32"/>
      <c r="AO417" s="32"/>
      <c r="AP417" s="32"/>
    </row>
    <row r="418" spans="1:42" ht="14.25" customHeight="1" x14ac:dyDescent="0.3">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c r="AA418" s="32"/>
      <c r="AB418" s="32"/>
      <c r="AC418" s="32"/>
      <c r="AD418" s="32"/>
      <c r="AE418" s="32"/>
      <c r="AF418" s="32"/>
      <c r="AG418" s="32"/>
      <c r="AH418" s="32"/>
      <c r="AI418" s="32"/>
      <c r="AJ418" s="32"/>
      <c r="AK418" s="32"/>
      <c r="AL418" s="32"/>
      <c r="AM418" s="32"/>
      <c r="AN418" s="32"/>
      <c r="AO418" s="32"/>
      <c r="AP418" s="32"/>
    </row>
    <row r="419" spans="1:42" ht="14.25" customHeight="1" x14ac:dyDescent="0.3">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c r="AA419" s="32"/>
      <c r="AB419" s="32"/>
      <c r="AC419" s="32"/>
      <c r="AD419" s="32"/>
      <c r="AE419" s="32"/>
      <c r="AF419" s="32"/>
      <c r="AG419" s="32"/>
      <c r="AH419" s="32"/>
      <c r="AI419" s="32"/>
      <c r="AJ419" s="32"/>
      <c r="AK419" s="32"/>
      <c r="AL419" s="32"/>
      <c r="AM419" s="32"/>
      <c r="AN419" s="32"/>
      <c r="AO419" s="32"/>
      <c r="AP419" s="32"/>
    </row>
    <row r="420" spans="1:42" ht="14.25" customHeight="1" x14ac:dyDescent="0.3">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c r="AA420" s="32"/>
      <c r="AB420" s="32"/>
      <c r="AC420" s="32"/>
      <c r="AD420" s="32"/>
      <c r="AE420" s="32"/>
      <c r="AF420" s="32"/>
      <c r="AG420" s="32"/>
      <c r="AH420" s="32"/>
      <c r="AI420" s="32"/>
      <c r="AJ420" s="32"/>
      <c r="AK420" s="32"/>
      <c r="AL420" s="32"/>
      <c r="AM420" s="32"/>
      <c r="AN420" s="32"/>
      <c r="AO420" s="32"/>
      <c r="AP420" s="32"/>
    </row>
    <row r="421" spans="1:42" ht="14.25" customHeight="1" x14ac:dyDescent="0.3">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c r="AA421" s="32"/>
      <c r="AB421" s="32"/>
      <c r="AC421" s="32"/>
      <c r="AD421" s="32"/>
      <c r="AE421" s="32"/>
      <c r="AF421" s="32"/>
      <c r="AG421" s="32"/>
      <c r="AH421" s="32"/>
      <c r="AI421" s="32"/>
      <c r="AJ421" s="32"/>
      <c r="AK421" s="32"/>
      <c r="AL421" s="32"/>
      <c r="AM421" s="32"/>
      <c r="AN421" s="32"/>
      <c r="AO421" s="32"/>
      <c r="AP421" s="32"/>
    </row>
    <row r="422" spans="1:42" ht="14.25" customHeight="1" x14ac:dyDescent="0.3">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c r="AA422" s="32"/>
      <c r="AB422" s="32"/>
      <c r="AC422" s="32"/>
      <c r="AD422" s="32"/>
      <c r="AE422" s="32"/>
      <c r="AF422" s="32"/>
      <c r="AG422" s="32"/>
      <c r="AH422" s="32"/>
      <c r="AI422" s="32"/>
      <c r="AJ422" s="32"/>
      <c r="AK422" s="32"/>
      <c r="AL422" s="32"/>
      <c r="AM422" s="32"/>
      <c r="AN422" s="32"/>
      <c r="AO422" s="32"/>
      <c r="AP422" s="32"/>
    </row>
    <row r="423" spans="1:42" ht="14.25" customHeight="1" x14ac:dyDescent="0.3">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c r="AA423" s="32"/>
      <c r="AB423" s="32"/>
      <c r="AC423" s="32"/>
      <c r="AD423" s="32"/>
      <c r="AE423" s="32"/>
      <c r="AF423" s="32"/>
      <c r="AG423" s="32"/>
      <c r="AH423" s="32"/>
      <c r="AI423" s="32"/>
      <c r="AJ423" s="32"/>
      <c r="AK423" s="32"/>
      <c r="AL423" s="32"/>
      <c r="AM423" s="32"/>
      <c r="AN423" s="32"/>
      <c r="AO423" s="32"/>
      <c r="AP423" s="32"/>
    </row>
    <row r="424" spans="1:42" ht="14.25" customHeight="1" x14ac:dyDescent="0.3">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c r="AA424" s="32"/>
      <c r="AB424" s="32"/>
      <c r="AC424" s="32"/>
      <c r="AD424" s="32"/>
      <c r="AE424" s="32"/>
      <c r="AF424" s="32"/>
      <c r="AG424" s="32"/>
      <c r="AH424" s="32"/>
      <c r="AI424" s="32"/>
      <c r="AJ424" s="32"/>
      <c r="AK424" s="32"/>
      <c r="AL424" s="32"/>
      <c r="AM424" s="32"/>
      <c r="AN424" s="32"/>
      <c r="AO424" s="32"/>
      <c r="AP424" s="32"/>
    </row>
    <row r="425" spans="1:42" ht="14.25" customHeight="1" x14ac:dyDescent="0.3">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c r="AA425" s="32"/>
      <c r="AB425" s="32"/>
      <c r="AC425" s="32"/>
      <c r="AD425" s="32"/>
      <c r="AE425" s="32"/>
      <c r="AF425" s="32"/>
      <c r="AG425" s="32"/>
      <c r="AH425" s="32"/>
      <c r="AI425" s="32"/>
      <c r="AJ425" s="32"/>
      <c r="AK425" s="32"/>
      <c r="AL425" s="32"/>
      <c r="AM425" s="32"/>
      <c r="AN425" s="32"/>
      <c r="AO425" s="32"/>
      <c r="AP425" s="32"/>
    </row>
    <row r="426" spans="1:42" ht="14.25" customHeight="1" x14ac:dyDescent="0.3">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c r="AA426" s="32"/>
      <c r="AB426" s="32"/>
      <c r="AC426" s="32"/>
      <c r="AD426" s="32"/>
      <c r="AE426" s="32"/>
      <c r="AF426" s="32"/>
      <c r="AG426" s="32"/>
      <c r="AH426" s="32"/>
      <c r="AI426" s="32"/>
      <c r="AJ426" s="32"/>
      <c r="AK426" s="32"/>
      <c r="AL426" s="32"/>
      <c r="AM426" s="32"/>
      <c r="AN426" s="32"/>
      <c r="AO426" s="32"/>
      <c r="AP426" s="32"/>
    </row>
    <row r="427" spans="1:42" ht="14.25" customHeight="1" x14ac:dyDescent="0.3">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c r="AA427" s="32"/>
      <c r="AB427" s="32"/>
      <c r="AC427" s="32"/>
      <c r="AD427" s="32"/>
      <c r="AE427" s="32"/>
      <c r="AF427" s="32"/>
      <c r="AG427" s="32"/>
      <c r="AH427" s="32"/>
      <c r="AI427" s="32"/>
      <c r="AJ427" s="32"/>
      <c r="AK427" s="32"/>
      <c r="AL427" s="32"/>
      <c r="AM427" s="32"/>
      <c r="AN427" s="32"/>
      <c r="AO427" s="32"/>
      <c r="AP427" s="32"/>
    </row>
    <row r="428" spans="1:42" ht="14.25" customHeight="1" x14ac:dyDescent="0.3">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c r="AA428" s="32"/>
      <c r="AB428" s="32"/>
      <c r="AC428" s="32"/>
      <c r="AD428" s="32"/>
      <c r="AE428" s="32"/>
      <c r="AF428" s="32"/>
      <c r="AG428" s="32"/>
      <c r="AH428" s="32"/>
      <c r="AI428" s="32"/>
      <c r="AJ428" s="32"/>
      <c r="AK428" s="32"/>
      <c r="AL428" s="32"/>
      <c r="AM428" s="32"/>
      <c r="AN428" s="32"/>
      <c r="AO428" s="32"/>
      <c r="AP428" s="32"/>
    </row>
    <row r="429" spans="1:42" ht="14.25" customHeight="1" x14ac:dyDescent="0.3">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c r="AA429" s="32"/>
      <c r="AB429" s="32"/>
      <c r="AC429" s="32"/>
      <c r="AD429" s="32"/>
      <c r="AE429" s="32"/>
      <c r="AF429" s="32"/>
      <c r="AG429" s="32"/>
      <c r="AH429" s="32"/>
      <c r="AI429" s="32"/>
      <c r="AJ429" s="32"/>
      <c r="AK429" s="32"/>
      <c r="AL429" s="32"/>
      <c r="AM429" s="32"/>
      <c r="AN429" s="32"/>
      <c r="AO429" s="32"/>
      <c r="AP429" s="32"/>
    </row>
    <row r="430" spans="1:42" ht="14.25" customHeight="1" x14ac:dyDescent="0.3">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c r="AA430" s="32"/>
      <c r="AB430" s="32"/>
      <c r="AC430" s="32"/>
      <c r="AD430" s="32"/>
      <c r="AE430" s="32"/>
      <c r="AF430" s="32"/>
      <c r="AG430" s="32"/>
      <c r="AH430" s="32"/>
      <c r="AI430" s="32"/>
      <c r="AJ430" s="32"/>
      <c r="AK430" s="32"/>
      <c r="AL430" s="32"/>
      <c r="AM430" s="32"/>
      <c r="AN430" s="32"/>
      <c r="AO430" s="32"/>
      <c r="AP430" s="32"/>
    </row>
    <row r="431" spans="1:42" ht="14.25" customHeight="1" x14ac:dyDescent="0.3">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c r="AA431" s="32"/>
      <c r="AB431" s="32"/>
      <c r="AC431" s="32"/>
      <c r="AD431" s="32"/>
      <c r="AE431" s="32"/>
      <c r="AF431" s="32"/>
      <c r="AG431" s="32"/>
      <c r="AH431" s="32"/>
      <c r="AI431" s="32"/>
      <c r="AJ431" s="32"/>
      <c r="AK431" s="32"/>
      <c r="AL431" s="32"/>
      <c r="AM431" s="32"/>
      <c r="AN431" s="32"/>
      <c r="AO431" s="32"/>
      <c r="AP431" s="32"/>
    </row>
    <row r="432" spans="1:42" ht="14.25" customHeight="1" x14ac:dyDescent="0.3">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c r="AA432" s="32"/>
      <c r="AB432" s="32"/>
      <c r="AC432" s="32"/>
      <c r="AD432" s="32"/>
      <c r="AE432" s="32"/>
      <c r="AF432" s="32"/>
      <c r="AG432" s="32"/>
      <c r="AH432" s="32"/>
      <c r="AI432" s="32"/>
      <c r="AJ432" s="32"/>
      <c r="AK432" s="32"/>
      <c r="AL432" s="32"/>
      <c r="AM432" s="32"/>
      <c r="AN432" s="32"/>
      <c r="AO432" s="32"/>
      <c r="AP432" s="32"/>
    </row>
    <row r="433" spans="1:42" ht="14.25" customHeight="1" x14ac:dyDescent="0.3">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c r="AA433" s="32"/>
      <c r="AB433" s="32"/>
      <c r="AC433" s="32"/>
      <c r="AD433" s="32"/>
      <c r="AE433" s="32"/>
      <c r="AF433" s="32"/>
      <c r="AG433" s="32"/>
      <c r="AH433" s="32"/>
      <c r="AI433" s="32"/>
      <c r="AJ433" s="32"/>
      <c r="AK433" s="32"/>
      <c r="AL433" s="32"/>
      <c r="AM433" s="32"/>
      <c r="AN433" s="32"/>
      <c r="AO433" s="32"/>
      <c r="AP433" s="32"/>
    </row>
    <row r="434" spans="1:42" ht="14.25" customHeight="1" x14ac:dyDescent="0.3">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c r="AA434" s="32"/>
      <c r="AB434" s="32"/>
      <c r="AC434" s="32"/>
      <c r="AD434" s="32"/>
      <c r="AE434" s="32"/>
      <c r="AF434" s="32"/>
      <c r="AG434" s="32"/>
      <c r="AH434" s="32"/>
      <c r="AI434" s="32"/>
      <c r="AJ434" s="32"/>
      <c r="AK434" s="32"/>
      <c r="AL434" s="32"/>
      <c r="AM434" s="32"/>
      <c r="AN434" s="32"/>
      <c r="AO434" s="32"/>
      <c r="AP434" s="32"/>
    </row>
    <row r="435" spans="1:42" ht="14.25" customHeight="1" x14ac:dyDescent="0.3">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c r="AA435" s="32"/>
      <c r="AB435" s="32"/>
      <c r="AC435" s="32"/>
      <c r="AD435" s="32"/>
      <c r="AE435" s="32"/>
      <c r="AF435" s="32"/>
      <c r="AG435" s="32"/>
      <c r="AH435" s="32"/>
      <c r="AI435" s="32"/>
      <c r="AJ435" s="32"/>
      <c r="AK435" s="32"/>
      <c r="AL435" s="32"/>
      <c r="AM435" s="32"/>
      <c r="AN435" s="32"/>
      <c r="AO435" s="32"/>
      <c r="AP435" s="32"/>
    </row>
    <row r="436" spans="1:42" ht="14.25" customHeight="1" x14ac:dyDescent="0.3">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c r="AA436" s="32"/>
      <c r="AB436" s="32"/>
      <c r="AC436" s="32"/>
      <c r="AD436" s="32"/>
      <c r="AE436" s="32"/>
      <c r="AF436" s="32"/>
      <c r="AG436" s="32"/>
      <c r="AH436" s="32"/>
      <c r="AI436" s="32"/>
      <c r="AJ436" s="32"/>
      <c r="AK436" s="32"/>
      <c r="AL436" s="32"/>
      <c r="AM436" s="32"/>
      <c r="AN436" s="32"/>
      <c r="AO436" s="32"/>
      <c r="AP436" s="32"/>
    </row>
    <row r="437" spans="1:42" ht="14.25" customHeight="1" x14ac:dyDescent="0.3">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c r="AA437" s="32"/>
      <c r="AB437" s="32"/>
      <c r="AC437" s="32"/>
      <c r="AD437" s="32"/>
      <c r="AE437" s="32"/>
      <c r="AF437" s="32"/>
      <c r="AG437" s="32"/>
      <c r="AH437" s="32"/>
      <c r="AI437" s="32"/>
      <c r="AJ437" s="32"/>
      <c r="AK437" s="32"/>
      <c r="AL437" s="32"/>
      <c r="AM437" s="32"/>
      <c r="AN437" s="32"/>
      <c r="AO437" s="32"/>
      <c r="AP437" s="32"/>
    </row>
    <row r="438" spans="1:42" ht="14.25" customHeight="1" x14ac:dyDescent="0.3">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c r="AA438" s="32"/>
      <c r="AB438" s="32"/>
      <c r="AC438" s="32"/>
      <c r="AD438" s="32"/>
      <c r="AE438" s="32"/>
      <c r="AF438" s="32"/>
      <c r="AG438" s="32"/>
      <c r="AH438" s="32"/>
      <c r="AI438" s="32"/>
      <c r="AJ438" s="32"/>
      <c r="AK438" s="32"/>
      <c r="AL438" s="32"/>
      <c r="AM438" s="32"/>
      <c r="AN438" s="32"/>
      <c r="AO438" s="32"/>
      <c r="AP438" s="32"/>
    </row>
    <row r="439" spans="1:42" ht="14.25" customHeight="1" x14ac:dyDescent="0.3">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c r="AA439" s="32"/>
      <c r="AB439" s="32"/>
      <c r="AC439" s="32"/>
      <c r="AD439" s="32"/>
      <c r="AE439" s="32"/>
      <c r="AF439" s="32"/>
      <c r="AG439" s="32"/>
      <c r="AH439" s="32"/>
      <c r="AI439" s="32"/>
      <c r="AJ439" s="32"/>
      <c r="AK439" s="32"/>
      <c r="AL439" s="32"/>
      <c r="AM439" s="32"/>
      <c r="AN439" s="32"/>
      <c r="AO439" s="32"/>
      <c r="AP439" s="32"/>
    </row>
    <row r="440" spans="1:42" ht="14.25" customHeight="1" x14ac:dyDescent="0.3">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c r="AA440" s="32"/>
      <c r="AB440" s="32"/>
      <c r="AC440" s="32"/>
      <c r="AD440" s="32"/>
      <c r="AE440" s="32"/>
      <c r="AF440" s="32"/>
      <c r="AG440" s="32"/>
      <c r="AH440" s="32"/>
      <c r="AI440" s="32"/>
      <c r="AJ440" s="32"/>
      <c r="AK440" s="32"/>
      <c r="AL440" s="32"/>
      <c r="AM440" s="32"/>
      <c r="AN440" s="32"/>
      <c r="AO440" s="32"/>
      <c r="AP440" s="32"/>
    </row>
    <row r="441" spans="1:42" ht="14.25" customHeight="1" x14ac:dyDescent="0.3">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c r="AA441" s="32"/>
      <c r="AB441" s="32"/>
      <c r="AC441" s="32"/>
      <c r="AD441" s="32"/>
      <c r="AE441" s="32"/>
      <c r="AF441" s="32"/>
      <c r="AG441" s="32"/>
      <c r="AH441" s="32"/>
      <c r="AI441" s="32"/>
      <c r="AJ441" s="32"/>
      <c r="AK441" s="32"/>
      <c r="AL441" s="32"/>
      <c r="AM441" s="32"/>
      <c r="AN441" s="32"/>
      <c r="AO441" s="32"/>
      <c r="AP441" s="32"/>
    </row>
    <row r="442" spans="1:42" ht="14.25" customHeight="1" x14ac:dyDescent="0.3">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c r="AA442" s="32"/>
      <c r="AB442" s="32"/>
      <c r="AC442" s="32"/>
      <c r="AD442" s="32"/>
      <c r="AE442" s="32"/>
      <c r="AF442" s="32"/>
      <c r="AG442" s="32"/>
      <c r="AH442" s="32"/>
      <c r="AI442" s="32"/>
      <c r="AJ442" s="32"/>
      <c r="AK442" s="32"/>
      <c r="AL442" s="32"/>
      <c r="AM442" s="32"/>
      <c r="AN442" s="32"/>
      <c r="AO442" s="32"/>
      <c r="AP442" s="32"/>
    </row>
    <row r="443" spans="1:42" ht="14.25" customHeight="1" x14ac:dyDescent="0.3">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c r="AA443" s="32"/>
      <c r="AB443" s="32"/>
      <c r="AC443" s="32"/>
      <c r="AD443" s="32"/>
      <c r="AE443" s="32"/>
      <c r="AF443" s="32"/>
      <c r="AG443" s="32"/>
      <c r="AH443" s="32"/>
      <c r="AI443" s="32"/>
      <c r="AJ443" s="32"/>
      <c r="AK443" s="32"/>
      <c r="AL443" s="32"/>
      <c r="AM443" s="32"/>
      <c r="AN443" s="32"/>
      <c r="AO443" s="32"/>
      <c r="AP443" s="32"/>
    </row>
    <row r="444" spans="1:42" ht="14.25" customHeight="1" x14ac:dyDescent="0.3">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c r="AA444" s="32"/>
      <c r="AB444" s="32"/>
      <c r="AC444" s="32"/>
      <c r="AD444" s="32"/>
      <c r="AE444" s="32"/>
      <c r="AF444" s="32"/>
      <c r="AG444" s="32"/>
      <c r="AH444" s="32"/>
      <c r="AI444" s="32"/>
      <c r="AJ444" s="32"/>
      <c r="AK444" s="32"/>
      <c r="AL444" s="32"/>
      <c r="AM444" s="32"/>
      <c r="AN444" s="32"/>
      <c r="AO444" s="32"/>
      <c r="AP444" s="32"/>
    </row>
    <row r="445" spans="1:42" ht="14.25" customHeight="1" x14ac:dyDescent="0.3">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c r="AN445" s="32"/>
      <c r="AO445" s="32"/>
      <c r="AP445" s="32"/>
    </row>
    <row r="446" spans="1:42" ht="14.25" customHeight="1" x14ac:dyDescent="0.3">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c r="AA446" s="32"/>
      <c r="AB446" s="32"/>
      <c r="AC446" s="32"/>
      <c r="AD446" s="32"/>
      <c r="AE446" s="32"/>
      <c r="AF446" s="32"/>
      <c r="AG446" s="32"/>
      <c r="AH446" s="32"/>
      <c r="AI446" s="32"/>
      <c r="AJ446" s="32"/>
      <c r="AK446" s="32"/>
      <c r="AL446" s="32"/>
      <c r="AM446" s="32"/>
      <c r="AN446" s="32"/>
      <c r="AO446" s="32"/>
      <c r="AP446" s="32"/>
    </row>
    <row r="447" spans="1:42" ht="14.25" customHeight="1" x14ac:dyDescent="0.3">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c r="AA447" s="32"/>
      <c r="AB447" s="32"/>
      <c r="AC447" s="32"/>
      <c r="AD447" s="32"/>
      <c r="AE447" s="32"/>
      <c r="AF447" s="32"/>
      <c r="AG447" s="32"/>
      <c r="AH447" s="32"/>
      <c r="AI447" s="32"/>
      <c r="AJ447" s="32"/>
      <c r="AK447" s="32"/>
      <c r="AL447" s="32"/>
      <c r="AM447" s="32"/>
      <c r="AN447" s="32"/>
      <c r="AO447" s="32"/>
      <c r="AP447" s="32"/>
    </row>
    <row r="448" spans="1:42" ht="14.25" customHeight="1" x14ac:dyDescent="0.3">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c r="AA448" s="32"/>
      <c r="AB448" s="32"/>
      <c r="AC448" s="32"/>
      <c r="AD448" s="32"/>
      <c r="AE448" s="32"/>
      <c r="AF448" s="32"/>
      <c r="AG448" s="32"/>
      <c r="AH448" s="32"/>
      <c r="AI448" s="32"/>
      <c r="AJ448" s="32"/>
      <c r="AK448" s="32"/>
      <c r="AL448" s="32"/>
      <c r="AM448" s="32"/>
      <c r="AN448" s="32"/>
      <c r="AO448" s="32"/>
      <c r="AP448" s="32"/>
    </row>
    <row r="449" spans="1:42" ht="14.25" customHeight="1" x14ac:dyDescent="0.3">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c r="AN449" s="32"/>
      <c r="AO449" s="32"/>
      <c r="AP449" s="32"/>
    </row>
    <row r="450" spans="1:42" ht="14.25" customHeight="1" x14ac:dyDescent="0.3">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c r="AA450" s="32"/>
      <c r="AB450" s="32"/>
      <c r="AC450" s="32"/>
      <c r="AD450" s="32"/>
      <c r="AE450" s="32"/>
      <c r="AF450" s="32"/>
      <c r="AG450" s="32"/>
      <c r="AH450" s="32"/>
      <c r="AI450" s="32"/>
      <c r="AJ450" s="32"/>
      <c r="AK450" s="32"/>
      <c r="AL450" s="32"/>
      <c r="AM450" s="32"/>
      <c r="AN450" s="32"/>
      <c r="AO450" s="32"/>
      <c r="AP450" s="32"/>
    </row>
    <row r="451" spans="1:42" ht="14.25" customHeight="1" x14ac:dyDescent="0.3">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c r="AA451" s="32"/>
      <c r="AB451" s="32"/>
      <c r="AC451" s="32"/>
      <c r="AD451" s="32"/>
      <c r="AE451" s="32"/>
      <c r="AF451" s="32"/>
      <c r="AG451" s="32"/>
      <c r="AH451" s="32"/>
      <c r="AI451" s="32"/>
      <c r="AJ451" s="32"/>
      <c r="AK451" s="32"/>
      <c r="AL451" s="32"/>
      <c r="AM451" s="32"/>
      <c r="AN451" s="32"/>
      <c r="AO451" s="32"/>
      <c r="AP451" s="32"/>
    </row>
    <row r="452" spans="1:42" ht="14.25" customHeight="1" x14ac:dyDescent="0.3">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c r="AA452" s="32"/>
      <c r="AB452" s="32"/>
      <c r="AC452" s="32"/>
      <c r="AD452" s="32"/>
      <c r="AE452" s="32"/>
      <c r="AF452" s="32"/>
      <c r="AG452" s="32"/>
      <c r="AH452" s="32"/>
      <c r="AI452" s="32"/>
      <c r="AJ452" s="32"/>
      <c r="AK452" s="32"/>
      <c r="AL452" s="32"/>
      <c r="AM452" s="32"/>
      <c r="AN452" s="32"/>
      <c r="AO452" s="32"/>
      <c r="AP452" s="32"/>
    </row>
    <row r="453" spans="1:42" ht="14.25" customHeight="1" x14ac:dyDescent="0.3">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c r="AN453" s="32"/>
      <c r="AO453" s="32"/>
      <c r="AP453" s="32"/>
    </row>
    <row r="454" spans="1:42" ht="14.25" customHeight="1" x14ac:dyDescent="0.3">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c r="AN454" s="32"/>
      <c r="AO454" s="32"/>
      <c r="AP454" s="32"/>
    </row>
    <row r="455" spans="1:42" ht="14.25" customHeight="1" x14ac:dyDescent="0.3">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c r="AN455" s="32"/>
      <c r="AO455" s="32"/>
      <c r="AP455" s="32"/>
    </row>
    <row r="456" spans="1:42" ht="14.25" customHeight="1" x14ac:dyDescent="0.3">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c r="AA456" s="32"/>
      <c r="AB456" s="32"/>
      <c r="AC456" s="32"/>
      <c r="AD456" s="32"/>
      <c r="AE456" s="32"/>
      <c r="AF456" s="32"/>
      <c r="AG456" s="32"/>
      <c r="AH456" s="32"/>
      <c r="AI456" s="32"/>
      <c r="AJ456" s="32"/>
      <c r="AK456" s="32"/>
      <c r="AL456" s="32"/>
      <c r="AM456" s="32"/>
      <c r="AN456" s="32"/>
      <c r="AO456" s="32"/>
      <c r="AP456" s="32"/>
    </row>
    <row r="457" spans="1:42" ht="14.25" customHeight="1" x14ac:dyDescent="0.3">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c r="AA457" s="32"/>
      <c r="AB457" s="32"/>
      <c r="AC457" s="32"/>
      <c r="AD457" s="32"/>
      <c r="AE457" s="32"/>
      <c r="AF457" s="32"/>
      <c r="AG457" s="32"/>
      <c r="AH457" s="32"/>
      <c r="AI457" s="32"/>
      <c r="AJ457" s="32"/>
      <c r="AK457" s="32"/>
      <c r="AL457" s="32"/>
      <c r="AM457" s="32"/>
      <c r="AN457" s="32"/>
      <c r="AO457" s="32"/>
      <c r="AP457" s="32"/>
    </row>
    <row r="458" spans="1:42" ht="14.25" customHeight="1" x14ac:dyDescent="0.3">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c r="AA458" s="32"/>
      <c r="AB458" s="32"/>
      <c r="AC458" s="32"/>
      <c r="AD458" s="32"/>
      <c r="AE458" s="32"/>
      <c r="AF458" s="32"/>
      <c r="AG458" s="32"/>
      <c r="AH458" s="32"/>
      <c r="AI458" s="32"/>
      <c r="AJ458" s="32"/>
      <c r="AK458" s="32"/>
      <c r="AL458" s="32"/>
      <c r="AM458" s="32"/>
      <c r="AN458" s="32"/>
      <c r="AO458" s="32"/>
      <c r="AP458" s="32"/>
    </row>
    <row r="459" spans="1:42" ht="14.25" customHeight="1" x14ac:dyDescent="0.3">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c r="AA459" s="32"/>
      <c r="AB459" s="32"/>
      <c r="AC459" s="32"/>
      <c r="AD459" s="32"/>
      <c r="AE459" s="32"/>
      <c r="AF459" s="32"/>
      <c r="AG459" s="32"/>
      <c r="AH459" s="32"/>
      <c r="AI459" s="32"/>
      <c r="AJ459" s="32"/>
      <c r="AK459" s="32"/>
      <c r="AL459" s="32"/>
      <c r="AM459" s="32"/>
      <c r="AN459" s="32"/>
      <c r="AO459" s="32"/>
      <c r="AP459" s="32"/>
    </row>
    <row r="460" spans="1:42" ht="14.25" customHeight="1" x14ac:dyDescent="0.3">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c r="AN460" s="32"/>
      <c r="AO460" s="32"/>
      <c r="AP460" s="32"/>
    </row>
    <row r="461" spans="1:42" ht="14.25" customHeight="1" x14ac:dyDescent="0.3">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c r="AA461" s="32"/>
      <c r="AB461" s="32"/>
      <c r="AC461" s="32"/>
      <c r="AD461" s="32"/>
      <c r="AE461" s="32"/>
      <c r="AF461" s="32"/>
      <c r="AG461" s="32"/>
      <c r="AH461" s="32"/>
      <c r="AI461" s="32"/>
      <c r="AJ461" s="32"/>
      <c r="AK461" s="32"/>
      <c r="AL461" s="32"/>
      <c r="AM461" s="32"/>
      <c r="AN461" s="32"/>
      <c r="AO461" s="32"/>
      <c r="AP461" s="32"/>
    </row>
    <row r="462" spans="1:42" ht="14.25" customHeight="1"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c r="AF462" s="32"/>
      <c r="AG462" s="32"/>
      <c r="AH462" s="32"/>
      <c r="AI462" s="32"/>
      <c r="AJ462" s="32"/>
      <c r="AK462" s="32"/>
      <c r="AL462" s="32"/>
      <c r="AM462" s="32"/>
      <c r="AN462" s="32"/>
      <c r="AO462" s="32"/>
      <c r="AP462" s="32"/>
    </row>
    <row r="463" spans="1:42" ht="14.25" customHeight="1"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c r="AF463" s="32"/>
      <c r="AG463" s="32"/>
      <c r="AH463" s="32"/>
      <c r="AI463" s="32"/>
      <c r="AJ463" s="32"/>
      <c r="AK463" s="32"/>
      <c r="AL463" s="32"/>
      <c r="AM463" s="32"/>
      <c r="AN463" s="32"/>
      <c r="AO463" s="32"/>
      <c r="AP463" s="32"/>
    </row>
    <row r="464" spans="1:42" ht="14.25" customHeight="1"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c r="AN464" s="32"/>
      <c r="AO464" s="32"/>
      <c r="AP464" s="32"/>
    </row>
    <row r="465" spans="1:42" ht="14.25" customHeight="1"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c r="AF465" s="32"/>
      <c r="AG465" s="32"/>
      <c r="AH465" s="32"/>
      <c r="AI465" s="32"/>
      <c r="AJ465" s="32"/>
      <c r="AK465" s="32"/>
      <c r="AL465" s="32"/>
      <c r="AM465" s="32"/>
      <c r="AN465" s="32"/>
      <c r="AO465" s="32"/>
      <c r="AP465" s="32"/>
    </row>
    <row r="466" spans="1:42" ht="14.25" customHeight="1"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c r="AF466" s="32"/>
      <c r="AG466" s="32"/>
      <c r="AH466" s="32"/>
      <c r="AI466" s="32"/>
      <c r="AJ466" s="32"/>
      <c r="AK466" s="32"/>
      <c r="AL466" s="32"/>
      <c r="AM466" s="32"/>
      <c r="AN466" s="32"/>
      <c r="AO466" s="32"/>
      <c r="AP466" s="32"/>
    </row>
    <row r="467" spans="1:42" ht="14.25" customHeight="1"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c r="AF467" s="32"/>
      <c r="AG467" s="32"/>
      <c r="AH467" s="32"/>
      <c r="AI467" s="32"/>
      <c r="AJ467" s="32"/>
      <c r="AK467" s="32"/>
      <c r="AL467" s="32"/>
      <c r="AM467" s="32"/>
      <c r="AN467" s="32"/>
      <c r="AO467" s="32"/>
      <c r="AP467" s="32"/>
    </row>
    <row r="468" spans="1:42" ht="14.25" customHeight="1"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c r="AF468" s="32"/>
      <c r="AG468" s="32"/>
      <c r="AH468" s="32"/>
      <c r="AI468" s="32"/>
      <c r="AJ468" s="32"/>
      <c r="AK468" s="32"/>
      <c r="AL468" s="32"/>
      <c r="AM468" s="32"/>
      <c r="AN468" s="32"/>
      <c r="AO468" s="32"/>
      <c r="AP468" s="32"/>
    </row>
    <row r="469" spans="1:42" ht="14.25" customHeight="1"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c r="AF469" s="32"/>
      <c r="AG469" s="32"/>
      <c r="AH469" s="32"/>
      <c r="AI469" s="32"/>
      <c r="AJ469" s="32"/>
      <c r="AK469" s="32"/>
      <c r="AL469" s="32"/>
      <c r="AM469" s="32"/>
      <c r="AN469" s="32"/>
      <c r="AO469" s="32"/>
      <c r="AP469" s="32"/>
    </row>
    <row r="470" spans="1:42" ht="14.25" customHeight="1"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c r="AF470" s="32"/>
      <c r="AG470" s="32"/>
      <c r="AH470" s="32"/>
      <c r="AI470" s="32"/>
      <c r="AJ470" s="32"/>
      <c r="AK470" s="32"/>
      <c r="AL470" s="32"/>
      <c r="AM470" s="32"/>
      <c r="AN470" s="32"/>
      <c r="AO470" s="32"/>
      <c r="AP470" s="32"/>
    </row>
    <row r="471" spans="1:42" ht="14.25" customHeight="1"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c r="AF471" s="32"/>
      <c r="AG471" s="32"/>
      <c r="AH471" s="32"/>
      <c r="AI471" s="32"/>
      <c r="AJ471" s="32"/>
      <c r="AK471" s="32"/>
      <c r="AL471" s="32"/>
      <c r="AM471" s="32"/>
      <c r="AN471" s="32"/>
      <c r="AO471" s="32"/>
      <c r="AP471" s="32"/>
    </row>
    <row r="472" spans="1:42" ht="14.25" customHeight="1"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c r="AF472" s="32"/>
      <c r="AG472" s="32"/>
      <c r="AH472" s="32"/>
      <c r="AI472" s="32"/>
      <c r="AJ472" s="32"/>
      <c r="AK472" s="32"/>
      <c r="AL472" s="32"/>
      <c r="AM472" s="32"/>
      <c r="AN472" s="32"/>
      <c r="AO472" s="32"/>
      <c r="AP472" s="32"/>
    </row>
    <row r="473" spans="1:42" ht="14.25" customHeight="1"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c r="AF473" s="32"/>
      <c r="AG473" s="32"/>
      <c r="AH473" s="32"/>
      <c r="AI473" s="32"/>
      <c r="AJ473" s="32"/>
      <c r="AK473" s="32"/>
      <c r="AL473" s="32"/>
      <c r="AM473" s="32"/>
      <c r="AN473" s="32"/>
      <c r="AO473" s="32"/>
      <c r="AP473" s="32"/>
    </row>
    <row r="474" spans="1:42" ht="14.25" customHeight="1"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c r="AF474" s="32"/>
      <c r="AG474" s="32"/>
      <c r="AH474" s="32"/>
      <c r="AI474" s="32"/>
      <c r="AJ474" s="32"/>
      <c r="AK474" s="32"/>
      <c r="AL474" s="32"/>
      <c r="AM474" s="32"/>
      <c r="AN474" s="32"/>
      <c r="AO474" s="32"/>
      <c r="AP474" s="32"/>
    </row>
    <row r="475" spans="1:42" ht="14.25" customHeight="1"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c r="AF475" s="32"/>
      <c r="AG475" s="32"/>
      <c r="AH475" s="32"/>
      <c r="AI475" s="32"/>
      <c r="AJ475" s="32"/>
      <c r="AK475" s="32"/>
      <c r="AL475" s="32"/>
      <c r="AM475" s="32"/>
      <c r="AN475" s="32"/>
      <c r="AO475" s="32"/>
      <c r="AP475" s="32"/>
    </row>
    <row r="476" spans="1:42" ht="14.25" customHeight="1"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c r="AF476" s="32"/>
      <c r="AG476" s="32"/>
      <c r="AH476" s="32"/>
      <c r="AI476" s="32"/>
      <c r="AJ476" s="32"/>
      <c r="AK476" s="32"/>
      <c r="AL476" s="32"/>
      <c r="AM476" s="32"/>
      <c r="AN476" s="32"/>
      <c r="AO476" s="32"/>
      <c r="AP476" s="32"/>
    </row>
    <row r="477" spans="1:42" ht="14.25" customHeight="1"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c r="AF477" s="32"/>
      <c r="AG477" s="32"/>
      <c r="AH477" s="32"/>
      <c r="AI477" s="32"/>
      <c r="AJ477" s="32"/>
      <c r="AK477" s="32"/>
      <c r="AL477" s="32"/>
      <c r="AM477" s="32"/>
      <c r="AN477" s="32"/>
      <c r="AO477" s="32"/>
      <c r="AP477" s="32"/>
    </row>
    <row r="478" spans="1:42" ht="14.25" customHeight="1"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c r="AF478" s="32"/>
      <c r="AG478" s="32"/>
      <c r="AH478" s="32"/>
      <c r="AI478" s="32"/>
      <c r="AJ478" s="32"/>
      <c r="AK478" s="32"/>
      <c r="AL478" s="32"/>
      <c r="AM478" s="32"/>
      <c r="AN478" s="32"/>
      <c r="AO478" s="32"/>
      <c r="AP478" s="32"/>
    </row>
    <row r="479" spans="1:42" ht="14.25" customHeight="1"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row>
    <row r="480" spans="1:42" ht="14.25" customHeight="1"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c r="AF480" s="32"/>
      <c r="AG480" s="32"/>
      <c r="AH480" s="32"/>
      <c r="AI480" s="32"/>
      <c r="AJ480" s="32"/>
      <c r="AK480" s="32"/>
      <c r="AL480" s="32"/>
      <c r="AM480" s="32"/>
      <c r="AN480" s="32"/>
      <c r="AO480" s="32"/>
      <c r="AP480" s="32"/>
    </row>
    <row r="481" spans="1:42" ht="14.25" customHeight="1"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c r="AF481" s="32"/>
      <c r="AG481" s="32"/>
      <c r="AH481" s="32"/>
      <c r="AI481" s="32"/>
      <c r="AJ481" s="32"/>
      <c r="AK481" s="32"/>
      <c r="AL481" s="32"/>
      <c r="AM481" s="32"/>
      <c r="AN481" s="32"/>
      <c r="AO481" s="32"/>
      <c r="AP481" s="32"/>
    </row>
    <row r="482" spans="1:42" ht="14.25" customHeight="1"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c r="AF482" s="32"/>
      <c r="AG482" s="32"/>
      <c r="AH482" s="32"/>
      <c r="AI482" s="32"/>
      <c r="AJ482" s="32"/>
      <c r="AK482" s="32"/>
      <c r="AL482" s="32"/>
      <c r="AM482" s="32"/>
      <c r="AN482" s="32"/>
      <c r="AO482" s="32"/>
      <c r="AP482" s="32"/>
    </row>
    <row r="483" spans="1:42" ht="14.25" customHeight="1"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c r="AF483" s="32"/>
      <c r="AG483" s="32"/>
      <c r="AH483" s="32"/>
      <c r="AI483" s="32"/>
      <c r="AJ483" s="32"/>
      <c r="AK483" s="32"/>
      <c r="AL483" s="32"/>
      <c r="AM483" s="32"/>
      <c r="AN483" s="32"/>
      <c r="AO483" s="32"/>
      <c r="AP483" s="32"/>
    </row>
    <row r="484" spans="1:42" ht="14.25" customHeight="1"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c r="AF484" s="32"/>
      <c r="AG484" s="32"/>
      <c r="AH484" s="32"/>
      <c r="AI484" s="32"/>
      <c r="AJ484" s="32"/>
      <c r="AK484" s="32"/>
      <c r="AL484" s="32"/>
      <c r="AM484" s="32"/>
      <c r="AN484" s="32"/>
      <c r="AO484" s="32"/>
      <c r="AP484" s="32"/>
    </row>
    <row r="485" spans="1:42" ht="14.25" customHeight="1"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c r="AF485" s="32"/>
      <c r="AG485" s="32"/>
      <c r="AH485" s="32"/>
      <c r="AI485" s="32"/>
      <c r="AJ485" s="32"/>
      <c r="AK485" s="32"/>
      <c r="AL485" s="32"/>
      <c r="AM485" s="32"/>
      <c r="AN485" s="32"/>
      <c r="AO485" s="32"/>
      <c r="AP485" s="32"/>
    </row>
    <row r="486" spans="1:42" ht="14.25" customHeight="1"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c r="AN486" s="32"/>
      <c r="AO486" s="32"/>
      <c r="AP486" s="32"/>
    </row>
    <row r="487" spans="1:42" ht="14.25" customHeight="1"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c r="AF487" s="32"/>
      <c r="AG487" s="32"/>
      <c r="AH487" s="32"/>
      <c r="AI487" s="32"/>
      <c r="AJ487" s="32"/>
      <c r="AK487" s="32"/>
      <c r="AL487" s="32"/>
      <c r="AM487" s="32"/>
      <c r="AN487" s="32"/>
      <c r="AO487" s="32"/>
      <c r="AP487" s="32"/>
    </row>
    <row r="488" spans="1:42" ht="14.25" customHeight="1"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c r="AN488" s="32"/>
      <c r="AO488" s="32"/>
      <c r="AP488" s="32"/>
    </row>
    <row r="489" spans="1:42" ht="14.25" customHeight="1"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c r="AN489" s="32"/>
      <c r="AO489" s="32"/>
      <c r="AP489" s="32"/>
    </row>
    <row r="490" spans="1:42" ht="14.25" customHeight="1"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c r="AF490" s="32"/>
      <c r="AG490" s="32"/>
      <c r="AH490" s="32"/>
      <c r="AI490" s="32"/>
      <c r="AJ490" s="32"/>
      <c r="AK490" s="32"/>
      <c r="AL490" s="32"/>
      <c r="AM490" s="32"/>
      <c r="AN490" s="32"/>
      <c r="AO490" s="32"/>
      <c r="AP490" s="32"/>
    </row>
    <row r="491" spans="1:42" ht="14.25" customHeight="1"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row>
    <row r="492" spans="1:42" ht="14.25" customHeight="1"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c r="AN492" s="32"/>
      <c r="AO492" s="32"/>
      <c r="AP492" s="32"/>
    </row>
    <row r="493" spans="1:42" ht="14.25" customHeight="1"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c r="AF493" s="32"/>
      <c r="AG493" s="32"/>
      <c r="AH493" s="32"/>
      <c r="AI493" s="32"/>
      <c r="AJ493" s="32"/>
      <c r="AK493" s="32"/>
      <c r="AL493" s="32"/>
      <c r="AM493" s="32"/>
      <c r="AN493" s="32"/>
      <c r="AO493" s="32"/>
      <c r="AP493" s="32"/>
    </row>
    <row r="494" spans="1:42" ht="14.25" customHeight="1"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c r="AN494" s="32"/>
      <c r="AO494" s="32"/>
      <c r="AP494" s="32"/>
    </row>
    <row r="495" spans="1:42" ht="14.25" customHeight="1"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c r="AN495" s="32"/>
      <c r="AO495" s="32"/>
      <c r="AP495" s="32"/>
    </row>
    <row r="496" spans="1:42" ht="14.25" customHeight="1"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c r="AF496" s="32"/>
      <c r="AG496" s="32"/>
      <c r="AH496" s="32"/>
      <c r="AI496" s="32"/>
      <c r="AJ496" s="32"/>
      <c r="AK496" s="32"/>
      <c r="AL496" s="32"/>
      <c r="AM496" s="32"/>
      <c r="AN496" s="32"/>
      <c r="AO496" s="32"/>
      <c r="AP496" s="32"/>
    </row>
    <row r="497" spans="1:42" ht="14.25" customHeight="1"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c r="AN497" s="32"/>
      <c r="AO497" s="32"/>
      <c r="AP497" s="32"/>
    </row>
    <row r="498" spans="1:42" ht="14.25" customHeight="1"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c r="AF498" s="32"/>
      <c r="AG498" s="32"/>
      <c r="AH498" s="32"/>
      <c r="AI498" s="32"/>
      <c r="AJ498" s="32"/>
      <c r="AK498" s="32"/>
      <c r="AL498" s="32"/>
      <c r="AM498" s="32"/>
      <c r="AN498" s="32"/>
      <c r="AO498" s="32"/>
      <c r="AP498" s="32"/>
    </row>
    <row r="499" spans="1:42" ht="14.25" customHeight="1"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c r="AF499" s="32"/>
      <c r="AG499" s="32"/>
      <c r="AH499" s="32"/>
      <c r="AI499" s="32"/>
      <c r="AJ499" s="32"/>
      <c r="AK499" s="32"/>
      <c r="AL499" s="32"/>
      <c r="AM499" s="32"/>
      <c r="AN499" s="32"/>
      <c r="AO499" s="32"/>
      <c r="AP499" s="32"/>
    </row>
    <row r="500" spans="1:42" ht="14.25" customHeight="1"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c r="AN500" s="32"/>
      <c r="AO500" s="32"/>
      <c r="AP500" s="32"/>
    </row>
    <row r="501" spans="1:42" ht="14.25" customHeight="1"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c r="AN501" s="32"/>
      <c r="AO501" s="32"/>
      <c r="AP501" s="32"/>
    </row>
    <row r="502" spans="1:42" ht="14.25" customHeight="1"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c r="AF502" s="32"/>
      <c r="AG502" s="32"/>
      <c r="AH502" s="32"/>
      <c r="AI502" s="32"/>
      <c r="AJ502" s="32"/>
      <c r="AK502" s="32"/>
      <c r="AL502" s="32"/>
      <c r="AM502" s="32"/>
      <c r="AN502" s="32"/>
      <c r="AO502" s="32"/>
      <c r="AP502" s="32"/>
    </row>
    <row r="503" spans="1:42" ht="14.25" customHeight="1"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c r="AN503" s="32"/>
      <c r="AO503" s="32"/>
      <c r="AP503" s="32"/>
    </row>
    <row r="504" spans="1:42" ht="14.25" customHeight="1"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c r="AF504" s="32"/>
      <c r="AG504" s="32"/>
      <c r="AH504" s="32"/>
      <c r="AI504" s="32"/>
      <c r="AJ504" s="32"/>
      <c r="AK504" s="32"/>
      <c r="AL504" s="32"/>
      <c r="AM504" s="32"/>
      <c r="AN504" s="32"/>
      <c r="AO504" s="32"/>
      <c r="AP504" s="32"/>
    </row>
    <row r="505" spans="1:42" ht="14.25" customHeight="1"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row>
    <row r="506" spans="1:42" ht="14.25" customHeight="1"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c r="AF506" s="32"/>
      <c r="AG506" s="32"/>
      <c r="AH506" s="32"/>
      <c r="AI506" s="32"/>
      <c r="AJ506" s="32"/>
      <c r="AK506" s="32"/>
      <c r="AL506" s="32"/>
      <c r="AM506" s="32"/>
      <c r="AN506" s="32"/>
      <c r="AO506" s="32"/>
      <c r="AP506" s="32"/>
    </row>
    <row r="507" spans="1:42" ht="14.25" customHeight="1"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c r="AN507" s="32"/>
      <c r="AO507" s="32"/>
      <c r="AP507" s="32"/>
    </row>
    <row r="508" spans="1:42" ht="14.25" customHeight="1"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c r="AF508" s="32"/>
      <c r="AG508" s="32"/>
      <c r="AH508" s="32"/>
      <c r="AI508" s="32"/>
      <c r="AJ508" s="32"/>
      <c r="AK508" s="32"/>
      <c r="AL508" s="32"/>
      <c r="AM508" s="32"/>
      <c r="AN508" s="32"/>
      <c r="AO508" s="32"/>
      <c r="AP508" s="32"/>
    </row>
    <row r="509" spans="1:42" ht="14.25" customHeight="1"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c r="AF509" s="32"/>
      <c r="AG509" s="32"/>
      <c r="AH509" s="32"/>
      <c r="AI509" s="32"/>
      <c r="AJ509" s="32"/>
      <c r="AK509" s="32"/>
      <c r="AL509" s="32"/>
      <c r="AM509" s="32"/>
      <c r="AN509" s="32"/>
      <c r="AO509" s="32"/>
      <c r="AP509" s="32"/>
    </row>
    <row r="510" spans="1:42" ht="14.25" customHeight="1"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c r="AF510" s="32"/>
      <c r="AG510" s="32"/>
      <c r="AH510" s="32"/>
      <c r="AI510" s="32"/>
      <c r="AJ510" s="32"/>
      <c r="AK510" s="32"/>
      <c r="AL510" s="32"/>
      <c r="AM510" s="32"/>
      <c r="AN510" s="32"/>
      <c r="AO510" s="32"/>
      <c r="AP510" s="32"/>
    </row>
    <row r="511" spans="1:42" ht="14.25" customHeight="1"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c r="AF511" s="32"/>
      <c r="AG511" s="32"/>
      <c r="AH511" s="32"/>
      <c r="AI511" s="32"/>
      <c r="AJ511" s="32"/>
      <c r="AK511" s="32"/>
      <c r="AL511" s="32"/>
      <c r="AM511" s="32"/>
      <c r="AN511" s="32"/>
      <c r="AO511" s="32"/>
      <c r="AP511" s="32"/>
    </row>
    <row r="512" spans="1:42" ht="14.25" customHeight="1"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c r="AF512" s="32"/>
      <c r="AG512" s="32"/>
      <c r="AH512" s="32"/>
      <c r="AI512" s="32"/>
      <c r="AJ512" s="32"/>
      <c r="AK512" s="32"/>
      <c r="AL512" s="32"/>
      <c r="AM512" s="32"/>
      <c r="AN512" s="32"/>
      <c r="AO512" s="32"/>
      <c r="AP512" s="32"/>
    </row>
    <row r="513" spans="1:42" ht="14.25" customHeight="1"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c r="AF513" s="32"/>
      <c r="AG513" s="32"/>
      <c r="AH513" s="32"/>
      <c r="AI513" s="32"/>
      <c r="AJ513" s="32"/>
      <c r="AK513" s="32"/>
      <c r="AL513" s="32"/>
      <c r="AM513" s="32"/>
      <c r="AN513" s="32"/>
      <c r="AO513" s="32"/>
      <c r="AP513" s="32"/>
    </row>
    <row r="514" spans="1:42" ht="14.25" customHeight="1"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c r="AF514" s="32"/>
      <c r="AG514" s="32"/>
      <c r="AH514" s="32"/>
      <c r="AI514" s="32"/>
      <c r="AJ514" s="32"/>
      <c r="AK514" s="32"/>
      <c r="AL514" s="32"/>
      <c r="AM514" s="32"/>
      <c r="AN514" s="32"/>
      <c r="AO514" s="32"/>
      <c r="AP514" s="32"/>
    </row>
    <row r="515" spans="1:42" ht="14.25" customHeight="1"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c r="AF515" s="32"/>
      <c r="AG515" s="32"/>
      <c r="AH515" s="32"/>
      <c r="AI515" s="32"/>
      <c r="AJ515" s="32"/>
      <c r="AK515" s="32"/>
      <c r="AL515" s="32"/>
      <c r="AM515" s="32"/>
      <c r="AN515" s="32"/>
      <c r="AO515" s="32"/>
      <c r="AP515" s="32"/>
    </row>
    <row r="516" spans="1:42" ht="14.25" customHeight="1"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c r="AF516" s="32"/>
      <c r="AG516" s="32"/>
      <c r="AH516" s="32"/>
      <c r="AI516" s="32"/>
      <c r="AJ516" s="32"/>
      <c r="AK516" s="32"/>
      <c r="AL516" s="32"/>
      <c r="AM516" s="32"/>
      <c r="AN516" s="32"/>
      <c r="AO516" s="32"/>
      <c r="AP516" s="32"/>
    </row>
    <row r="517" spans="1:42" ht="14.25" customHeight="1"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c r="AF517" s="32"/>
      <c r="AG517" s="32"/>
      <c r="AH517" s="32"/>
      <c r="AI517" s="32"/>
      <c r="AJ517" s="32"/>
      <c r="AK517" s="32"/>
      <c r="AL517" s="32"/>
      <c r="AM517" s="32"/>
      <c r="AN517" s="32"/>
      <c r="AO517" s="32"/>
      <c r="AP517" s="32"/>
    </row>
    <row r="518" spans="1:42" ht="14.25" customHeight="1"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c r="AF518" s="32"/>
      <c r="AG518" s="32"/>
      <c r="AH518" s="32"/>
      <c r="AI518" s="32"/>
      <c r="AJ518" s="32"/>
      <c r="AK518" s="32"/>
      <c r="AL518" s="32"/>
      <c r="AM518" s="32"/>
      <c r="AN518" s="32"/>
      <c r="AO518" s="32"/>
      <c r="AP518" s="32"/>
    </row>
    <row r="519" spans="1:42" ht="14.25" customHeight="1"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c r="AF519" s="32"/>
      <c r="AG519" s="32"/>
      <c r="AH519" s="32"/>
      <c r="AI519" s="32"/>
      <c r="AJ519" s="32"/>
      <c r="AK519" s="32"/>
      <c r="AL519" s="32"/>
      <c r="AM519" s="32"/>
      <c r="AN519" s="32"/>
      <c r="AO519" s="32"/>
      <c r="AP519" s="32"/>
    </row>
    <row r="520" spans="1:42" ht="14.25" customHeight="1"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c r="AF520" s="32"/>
      <c r="AG520" s="32"/>
      <c r="AH520" s="32"/>
      <c r="AI520" s="32"/>
      <c r="AJ520" s="32"/>
      <c r="AK520" s="32"/>
      <c r="AL520" s="32"/>
      <c r="AM520" s="32"/>
      <c r="AN520" s="32"/>
      <c r="AO520" s="32"/>
      <c r="AP520" s="32"/>
    </row>
    <row r="521" spans="1:42" ht="14.25" customHeight="1"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c r="AF521" s="32"/>
      <c r="AG521" s="32"/>
      <c r="AH521" s="32"/>
      <c r="AI521" s="32"/>
      <c r="AJ521" s="32"/>
      <c r="AK521" s="32"/>
      <c r="AL521" s="32"/>
      <c r="AM521" s="32"/>
      <c r="AN521" s="32"/>
      <c r="AO521" s="32"/>
      <c r="AP521" s="32"/>
    </row>
    <row r="522" spans="1:42" ht="14.25" customHeight="1"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c r="AF522" s="32"/>
      <c r="AG522" s="32"/>
      <c r="AH522" s="32"/>
      <c r="AI522" s="32"/>
      <c r="AJ522" s="32"/>
      <c r="AK522" s="32"/>
      <c r="AL522" s="32"/>
      <c r="AM522" s="32"/>
      <c r="AN522" s="32"/>
      <c r="AO522" s="32"/>
      <c r="AP522" s="32"/>
    </row>
    <row r="523" spans="1:42" ht="14.25" customHeight="1"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c r="AF523" s="32"/>
      <c r="AG523" s="32"/>
      <c r="AH523" s="32"/>
      <c r="AI523" s="32"/>
      <c r="AJ523" s="32"/>
      <c r="AK523" s="32"/>
      <c r="AL523" s="32"/>
      <c r="AM523" s="32"/>
      <c r="AN523" s="32"/>
      <c r="AO523" s="32"/>
      <c r="AP523" s="32"/>
    </row>
    <row r="524" spans="1:42" ht="14.25" customHeight="1"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c r="AF524" s="32"/>
      <c r="AG524" s="32"/>
      <c r="AH524" s="32"/>
      <c r="AI524" s="32"/>
      <c r="AJ524" s="32"/>
      <c r="AK524" s="32"/>
      <c r="AL524" s="32"/>
      <c r="AM524" s="32"/>
      <c r="AN524" s="32"/>
      <c r="AO524" s="32"/>
      <c r="AP524" s="32"/>
    </row>
    <row r="525" spans="1:42" ht="14.25" customHeight="1"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c r="AF525" s="32"/>
      <c r="AG525" s="32"/>
      <c r="AH525" s="32"/>
      <c r="AI525" s="32"/>
      <c r="AJ525" s="32"/>
      <c r="AK525" s="32"/>
      <c r="AL525" s="32"/>
      <c r="AM525" s="32"/>
      <c r="AN525" s="32"/>
      <c r="AO525" s="32"/>
      <c r="AP525" s="32"/>
    </row>
    <row r="526" spans="1:42" ht="14.25" customHeight="1"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c r="AF526" s="32"/>
      <c r="AG526" s="32"/>
      <c r="AH526" s="32"/>
      <c r="AI526" s="32"/>
      <c r="AJ526" s="32"/>
      <c r="AK526" s="32"/>
      <c r="AL526" s="32"/>
      <c r="AM526" s="32"/>
      <c r="AN526" s="32"/>
      <c r="AO526" s="32"/>
      <c r="AP526" s="32"/>
    </row>
    <row r="527" spans="1:42" ht="14.25" customHeight="1"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c r="AF527" s="32"/>
      <c r="AG527" s="32"/>
      <c r="AH527" s="32"/>
      <c r="AI527" s="32"/>
      <c r="AJ527" s="32"/>
      <c r="AK527" s="32"/>
      <c r="AL527" s="32"/>
      <c r="AM527" s="32"/>
      <c r="AN527" s="32"/>
      <c r="AO527" s="32"/>
      <c r="AP527" s="32"/>
    </row>
    <row r="528" spans="1:42" ht="14.25" customHeight="1"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c r="AN528" s="32"/>
      <c r="AO528" s="32"/>
      <c r="AP528" s="32"/>
    </row>
    <row r="529" spans="1:42" ht="14.25" customHeight="1"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c r="AF529" s="32"/>
      <c r="AG529" s="32"/>
      <c r="AH529" s="32"/>
      <c r="AI529" s="32"/>
      <c r="AJ529" s="32"/>
      <c r="AK529" s="32"/>
      <c r="AL529" s="32"/>
      <c r="AM529" s="32"/>
      <c r="AN529" s="32"/>
      <c r="AO529" s="32"/>
      <c r="AP529" s="32"/>
    </row>
    <row r="530" spans="1:42" ht="14.25" customHeight="1"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c r="AF530" s="32"/>
      <c r="AG530" s="32"/>
      <c r="AH530" s="32"/>
      <c r="AI530" s="32"/>
      <c r="AJ530" s="32"/>
      <c r="AK530" s="32"/>
      <c r="AL530" s="32"/>
      <c r="AM530" s="32"/>
      <c r="AN530" s="32"/>
      <c r="AO530" s="32"/>
      <c r="AP530" s="32"/>
    </row>
    <row r="531" spans="1:42" ht="14.25" customHeight="1"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c r="AF531" s="32"/>
      <c r="AG531" s="32"/>
      <c r="AH531" s="32"/>
      <c r="AI531" s="32"/>
      <c r="AJ531" s="32"/>
      <c r="AK531" s="32"/>
      <c r="AL531" s="32"/>
      <c r="AM531" s="32"/>
      <c r="AN531" s="32"/>
      <c r="AO531" s="32"/>
      <c r="AP531" s="32"/>
    </row>
    <row r="532" spans="1:42" ht="14.25" customHeight="1"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c r="AF532" s="32"/>
      <c r="AG532" s="32"/>
      <c r="AH532" s="32"/>
      <c r="AI532" s="32"/>
      <c r="AJ532" s="32"/>
      <c r="AK532" s="32"/>
      <c r="AL532" s="32"/>
      <c r="AM532" s="32"/>
      <c r="AN532" s="32"/>
      <c r="AO532" s="32"/>
      <c r="AP532" s="32"/>
    </row>
    <row r="533" spans="1:42" ht="14.25" customHeight="1"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c r="AF533" s="32"/>
      <c r="AG533" s="32"/>
      <c r="AH533" s="32"/>
      <c r="AI533" s="32"/>
      <c r="AJ533" s="32"/>
      <c r="AK533" s="32"/>
      <c r="AL533" s="32"/>
      <c r="AM533" s="32"/>
      <c r="AN533" s="32"/>
      <c r="AO533" s="32"/>
      <c r="AP533" s="32"/>
    </row>
    <row r="534" spans="1:42" ht="14.25" customHeight="1"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c r="AF534" s="32"/>
      <c r="AG534" s="32"/>
      <c r="AH534" s="32"/>
      <c r="AI534" s="32"/>
      <c r="AJ534" s="32"/>
      <c r="AK534" s="32"/>
      <c r="AL534" s="32"/>
      <c r="AM534" s="32"/>
      <c r="AN534" s="32"/>
      <c r="AO534" s="32"/>
      <c r="AP534" s="32"/>
    </row>
    <row r="535" spans="1:42" ht="14.25" customHeight="1"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c r="AF535" s="32"/>
      <c r="AG535" s="32"/>
      <c r="AH535" s="32"/>
      <c r="AI535" s="32"/>
      <c r="AJ535" s="32"/>
      <c r="AK535" s="32"/>
      <c r="AL535" s="32"/>
      <c r="AM535" s="32"/>
      <c r="AN535" s="32"/>
      <c r="AO535" s="32"/>
      <c r="AP535" s="32"/>
    </row>
    <row r="536" spans="1:42" ht="14.25" customHeight="1"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c r="AF536" s="32"/>
      <c r="AG536" s="32"/>
      <c r="AH536" s="32"/>
      <c r="AI536" s="32"/>
      <c r="AJ536" s="32"/>
      <c r="AK536" s="32"/>
      <c r="AL536" s="32"/>
      <c r="AM536" s="32"/>
      <c r="AN536" s="32"/>
      <c r="AO536" s="32"/>
      <c r="AP536" s="32"/>
    </row>
    <row r="537" spans="1:42" ht="14.25" customHeight="1"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c r="AF537" s="32"/>
      <c r="AG537" s="32"/>
      <c r="AH537" s="32"/>
      <c r="AI537" s="32"/>
      <c r="AJ537" s="32"/>
      <c r="AK537" s="32"/>
      <c r="AL537" s="32"/>
      <c r="AM537" s="32"/>
      <c r="AN537" s="32"/>
      <c r="AO537" s="32"/>
      <c r="AP537" s="32"/>
    </row>
    <row r="538" spans="1:42" ht="14.25" customHeight="1"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c r="AN538" s="32"/>
      <c r="AO538" s="32"/>
      <c r="AP538" s="32"/>
    </row>
    <row r="539" spans="1:42" ht="14.25" customHeight="1"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c r="AF539" s="32"/>
      <c r="AG539" s="32"/>
      <c r="AH539" s="32"/>
      <c r="AI539" s="32"/>
      <c r="AJ539" s="32"/>
      <c r="AK539" s="32"/>
      <c r="AL539" s="32"/>
      <c r="AM539" s="32"/>
      <c r="AN539" s="32"/>
      <c r="AO539" s="32"/>
      <c r="AP539" s="32"/>
    </row>
    <row r="540" spans="1:42" ht="14.25" customHeight="1"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c r="AF540" s="32"/>
      <c r="AG540" s="32"/>
      <c r="AH540" s="32"/>
      <c r="AI540" s="32"/>
      <c r="AJ540" s="32"/>
      <c r="AK540" s="32"/>
      <c r="AL540" s="32"/>
      <c r="AM540" s="32"/>
      <c r="AN540" s="32"/>
      <c r="AO540" s="32"/>
      <c r="AP540" s="32"/>
    </row>
    <row r="541" spans="1:42" ht="14.25" customHeight="1"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c r="AF541" s="32"/>
      <c r="AG541" s="32"/>
      <c r="AH541" s="32"/>
      <c r="AI541" s="32"/>
      <c r="AJ541" s="32"/>
      <c r="AK541" s="32"/>
      <c r="AL541" s="32"/>
      <c r="AM541" s="32"/>
      <c r="AN541" s="32"/>
      <c r="AO541" s="32"/>
      <c r="AP541" s="32"/>
    </row>
    <row r="542" spans="1:42" ht="14.25" customHeight="1"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c r="AF542" s="32"/>
      <c r="AG542" s="32"/>
      <c r="AH542" s="32"/>
      <c r="AI542" s="32"/>
      <c r="AJ542" s="32"/>
      <c r="AK542" s="32"/>
      <c r="AL542" s="32"/>
      <c r="AM542" s="32"/>
      <c r="AN542" s="32"/>
      <c r="AO542" s="32"/>
      <c r="AP542" s="32"/>
    </row>
    <row r="543" spans="1:42" ht="14.25" customHeight="1"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c r="AF543" s="32"/>
      <c r="AG543" s="32"/>
      <c r="AH543" s="32"/>
      <c r="AI543" s="32"/>
      <c r="AJ543" s="32"/>
      <c r="AK543" s="32"/>
      <c r="AL543" s="32"/>
      <c r="AM543" s="32"/>
      <c r="AN543" s="32"/>
      <c r="AO543" s="32"/>
      <c r="AP543" s="32"/>
    </row>
    <row r="544" spans="1:42" ht="14.25" customHeight="1"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c r="AF544" s="32"/>
      <c r="AG544" s="32"/>
      <c r="AH544" s="32"/>
      <c r="AI544" s="32"/>
      <c r="AJ544" s="32"/>
      <c r="AK544" s="32"/>
      <c r="AL544" s="32"/>
      <c r="AM544" s="32"/>
      <c r="AN544" s="32"/>
      <c r="AO544" s="32"/>
      <c r="AP544" s="32"/>
    </row>
    <row r="545" spans="1:42" ht="14.25" customHeight="1"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c r="AF545" s="32"/>
      <c r="AG545" s="32"/>
      <c r="AH545" s="32"/>
      <c r="AI545" s="32"/>
      <c r="AJ545" s="32"/>
      <c r="AK545" s="32"/>
      <c r="AL545" s="32"/>
      <c r="AM545" s="32"/>
      <c r="AN545" s="32"/>
      <c r="AO545" s="32"/>
      <c r="AP545" s="32"/>
    </row>
    <row r="546" spans="1:42" ht="14.25" customHeight="1"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c r="AF546" s="32"/>
      <c r="AG546" s="32"/>
      <c r="AH546" s="32"/>
      <c r="AI546" s="32"/>
      <c r="AJ546" s="32"/>
      <c r="AK546" s="32"/>
      <c r="AL546" s="32"/>
      <c r="AM546" s="32"/>
      <c r="AN546" s="32"/>
      <c r="AO546" s="32"/>
      <c r="AP546" s="32"/>
    </row>
    <row r="547" spans="1:42" ht="14.25" customHeight="1"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c r="AF547" s="32"/>
      <c r="AG547" s="32"/>
      <c r="AH547" s="32"/>
      <c r="AI547" s="32"/>
      <c r="AJ547" s="32"/>
      <c r="AK547" s="32"/>
      <c r="AL547" s="32"/>
      <c r="AM547" s="32"/>
      <c r="AN547" s="32"/>
      <c r="AO547" s="32"/>
      <c r="AP547" s="32"/>
    </row>
    <row r="548" spans="1:42" ht="14.25" customHeight="1"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c r="AF548" s="32"/>
      <c r="AG548" s="32"/>
      <c r="AH548" s="32"/>
      <c r="AI548" s="32"/>
      <c r="AJ548" s="32"/>
      <c r="AK548" s="32"/>
      <c r="AL548" s="32"/>
      <c r="AM548" s="32"/>
      <c r="AN548" s="32"/>
      <c r="AO548" s="32"/>
      <c r="AP548" s="32"/>
    </row>
    <row r="549" spans="1:42" ht="14.25" customHeight="1"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c r="AF549" s="32"/>
      <c r="AG549" s="32"/>
      <c r="AH549" s="32"/>
      <c r="AI549" s="32"/>
      <c r="AJ549" s="32"/>
      <c r="AK549" s="32"/>
      <c r="AL549" s="32"/>
      <c r="AM549" s="32"/>
      <c r="AN549" s="32"/>
      <c r="AO549" s="32"/>
      <c r="AP549" s="32"/>
    </row>
    <row r="550" spans="1:42" ht="14.25" customHeight="1"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c r="AF550" s="32"/>
      <c r="AG550" s="32"/>
      <c r="AH550" s="32"/>
      <c r="AI550" s="32"/>
      <c r="AJ550" s="32"/>
      <c r="AK550" s="32"/>
      <c r="AL550" s="32"/>
      <c r="AM550" s="32"/>
      <c r="AN550" s="32"/>
      <c r="AO550" s="32"/>
      <c r="AP550" s="32"/>
    </row>
    <row r="551" spans="1:42" ht="14.25" customHeight="1"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c r="AF551" s="32"/>
      <c r="AG551" s="32"/>
      <c r="AH551" s="32"/>
      <c r="AI551" s="32"/>
      <c r="AJ551" s="32"/>
      <c r="AK551" s="32"/>
      <c r="AL551" s="32"/>
      <c r="AM551" s="32"/>
      <c r="AN551" s="32"/>
      <c r="AO551" s="32"/>
      <c r="AP551" s="32"/>
    </row>
    <row r="552" spans="1:42" ht="14.25" customHeight="1"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c r="AF552" s="32"/>
      <c r="AG552" s="32"/>
      <c r="AH552" s="32"/>
      <c r="AI552" s="32"/>
      <c r="AJ552" s="32"/>
      <c r="AK552" s="32"/>
      <c r="AL552" s="32"/>
      <c r="AM552" s="32"/>
      <c r="AN552" s="32"/>
      <c r="AO552" s="32"/>
      <c r="AP552" s="32"/>
    </row>
    <row r="553" spans="1:42" ht="14.25" customHeight="1"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c r="AN553" s="32"/>
      <c r="AO553" s="32"/>
      <c r="AP553" s="32"/>
    </row>
    <row r="554" spans="1:42" ht="14.25" customHeight="1"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c r="AF554" s="32"/>
      <c r="AG554" s="32"/>
      <c r="AH554" s="32"/>
      <c r="AI554" s="32"/>
      <c r="AJ554" s="32"/>
      <c r="AK554" s="32"/>
      <c r="AL554" s="32"/>
      <c r="AM554" s="32"/>
      <c r="AN554" s="32"/>
      <c r="AO554" s="32"/>
      <c r="AP554" s="32"/>
    </row>
    <row r="555" spans="1:42" ht="14.25" customHeight="1"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c r="AF555" s="32"/>
      <c r="AG555" s="32"/>
      <c r="AH555" s="32"/>
      <c r="AI555" s="32"/>
      <c r="AJ555" s="32"/>
      <c r="AK555" s="32"/>
      <c r="AL555" s="32"/>
      <c r="AM555" s="32"/>
      <c r="AN555" s="32"/>
      <c r="AO555" s="32"/>
      <c r="AP555" s="32"/>
    </row>
    <row r="556" spans="1:42" ht="14.25" customHeight="1"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c r="AF556" s="32"/>
      <c r="AG556" s="32"/>
      <c r="AH556" s="32"/>
      <c r="AI556" s="32"/>
      <c r="AJ556" s="32"/>
      <c r="AK556" s="32"/>
      <c r="AL556" s="32"/>
      <c r="AM556" s="32"/>
      <c r="AN556" s="32"/>
      <c r="AO556" s="32"/>
      <c r="AP556" s="32"/>
    </row>
    <row r="557" spans="1:42" ht="14.25" customHeight="1"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c r="AF557" s="32"/>
      <c r="AG557" s="32"/>
      <c r="AH557" s="32"/>
      <c r="AI557" s="32"/>
      <c r="AJ557" s="32"/>
      <c r="AK557" s="32"/>
      <c r="AL557" s="32"/>
      <c r="AM557" s="32"/>
      <c r="AN557" s="32"/>
      <c r="AO557" s="32"/>
      <c r="AP557" s="32"/>
    </row>
    <row r="558" spans="1:42" ht="14.25" customHeight="1"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c r="AF558" s="32"/>
      <c r="AG558" s="32"/>
      <c r="AH558" s="32"/>
      <c r="AI558" s="32"/>
      <c r="AJ558" s="32"/>
      <c r="AK558" s="32"/>
      <c r="AL558" s="32"/>
      <c r="AM558" s="32"/>
      <c r="AN558" s="32"/>
      <c r="AO558" s="32"/>
      <c r="AP558" s="32"/>
    </row>
    <row r="559" spans="1:42" ht="14.25" customHeight="1"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c r="AF559" s="32"/>
      <c r="AG559" s="32"/>
      <c r="AH559" s="32"/>
      <c r="AI559" s="32"/>
      <c r="AJ559" s="32"/>
      <c r="AK559" s="32"/>
      <c r="AL559" s="32"/>
      <c r="AM559" s="32"/>
      <c r="AN559" s="32"/>
      <c r="AO559" s="32"/>
      <c r="AP559" s="32"/>
    </row>
    <row r="560" spans="1:42" ht="14.25" customHeight="1"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c r="AF560" s="32"/>
      <c r="AG560" s="32"/>
      <c r="AH560" s="32"/>
      <c r="AI560" s="32"/>
      <c r="AJ560" s="32"/>
      <c r="AK560" s="32"/>
      <c r="AL560" s="32"/>
      <c r="AM560" s="32"/>
      <c r="AN560" s="32"/>
      <c r="AO560" s="32"/>
      <c r="AP560" s="32"/>
    </row>
    <row r="561" spans="1:42" ht="14.25" customHeight="1"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c r="AF561" s="32"/>
      <c r="AG561" s="32"/>
      <c r="AH561" s="32"/>
      <c r="AI561" s="32"/>
      <c r="AJ561" s="32"/>
      <c r="AK561" s="32"/>
      <c r="AL561" s="32"/>
      <c r="AM561" s="32"/>
      <c r="AN561" s="32"/>
      <c r="AO561" s="32"/>
      <c r="AP561" s="32"/>
    </row>
    <row r="562" spans="1:42" ht="14.25" customHeight="1"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c r="AF562" s="32"/>
      <c r="AG562" s="32"/>
      <c r="AH562" s="32"/>
      <c r="AI562" s="32"/>
      <c r="AJ562" s="32"/>
      <c r="AK562" s="32"/>
      <c r="AL562" s="32"/>
      <c r="AM562" s="32"/>
      <c r="AN562" s="32"/>
      <c r="AO562" s="32"/>
      <c r="AP562" s="32"/>
    </row>
    <row r="563" spans="1:42" ht="14.25" customHeight="1"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c r="AF563" s="32"/>
      <c r="AG563" s="32"/>
      <c r="AH563" s="32"/>
      <c r="AI563" s="32"/>
      <c r="AJ563" s="32"/>
      <c r="AK563" s="32"/>
      <c r="AL563" s="32"/>
      <c r="AM563" s="32"/>
      <c r="AN563" s="32"/>
      <c r="AO563" s="32"/>
      <c r="AP563" s="32"/>
    </row>
    <row r="564" spans="1:42" ht="14.25" customHeight="1"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c r="AF564" s="32"/>
      <c r="AG564" s="32"/>
      <c r="AH564" s="32"/>
      <c r="AI564" s="32"/>
      <c r="AJ564" s="32"/>
      <c r="AK564" s="32"/>
      <c r="AL564" s="32"/>
      <c r="AM564" s="32"/>
      <c r="AN564" s="32"/>
      <c r="AO564" s="32"/>
      <c r="AP564" s="32"/>
    </row>
    <row r="565" spans="1:42" ht="14.25" customHeight="1"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c r="AF565" s="32"/>
      <c r="AG565" s="32"/>
      <c r="AH565" s="32"/>
      <c r="AI565" s="32"/>
      <c r="AJ565" s="32"/>
      <c r="AK565" s="32"/>
      <c r="AL565" s="32"/>
      <c r="AM565" s="32"/>
      <c r="AN565" s="32"/>
      <c r="AO565" s="32"/>
      <c r="AP565" s="32"/>
    </row>
    <row r="566" spans="1:42" ht="14.25" customHeight="1"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c r="AF566" s="32"/>
      <c r="AG566" s="32"/>
      <c r="AH566" s="32"/>
      <c r="AI566" s="32"/>
      <c r="AJ566" s="32"/>
      <c r="AK566" s="32"/>
      <c r="AL566" s="32"/>
      <c r="AM566" s="32"/>
      <c r="AN566" s="32"/>
      <c r="AO566" s="32"/>
      <c r="AP566" s="32"/>
    </row>
    <row r="567" spans="1:42" ht="14.25" customHeight="1"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c r="AF567" s="32"/>
      <c r="AG567" s="32"/>
      <c r="AH567" s="32"/>
      <c r="AI567" s="32"/>
      <c r="AJ567" s="32"/>
      <c r="AK567" s="32"/>
      <c r="AL567" s="32"/>
      <c r="AM567" s="32"/>
      <c r="AN567" s="32"/>
      <c r="AO567" s="32"/>
      <c r="AP567" s="32"/>
    </row>
    <row r="568" spans="1:42" ht="14.25" customHeight="1"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c r="AF568" s="32"/>
      <c r="AG568" s="32"/>
      <c r="AH568" s="32"/>
      <c r="AI568" s="32"/>
      <c r="AJ568" s="32"/>
      <c r="AK568" s="32"/>
      <c r="AL568" s="32"/>
      <c r="AM568" s="32"/>
      <c r="AN568" s="32"/>
      <c r="AO568" s="32"/>
      <c r="AP568" s="32"/>
    </row>
    <row r="569" spans="1:42" ht="14.25" customHeight="1"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c r="AF569" s="32"/>
      <c r="AG569" s="32"/>
      <c r="AH569" s="32"/>
      <c r="AI569" s="32"/>
      <c r="AJ569" s="32"/>
      <c r="AK569" s="32"/>
      <c r="AL569" s="32"/>
      <c r="AM569" s="32"/>
      <c r="AN569" s="32"/>
      <c r="AO569" s="32"/>
      <c r="AP569" s="32"/>
    </row>
    <row r="570" spans="1:42" ht="14.25" customHeight="1"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c r="AF570" s="32"/>
      <c r="AG570" s="32"/>
      <c r="AH570" s="32"/>
      <c r="AI570" s="32"/>
      <c r="AJ570" s="32"/>
      <c r="AK570" s="32"/>
      <c r="AL570" s="32"/>
      <c r="AM570" s="32"/>
      <c r="AN570" s="32"/>
      <c r="AO570" s="32"/>
      <c r="AP570" s="32"/>
    </row>
    <row r="571" spans="1:42" ht="14.25" customHeight="1"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c r="AF571" s="32"/>
      <c r="AG571" s="32"/>
      <c r="AH571" s="32"/>
      <c r="AI571" s="32"/>
      <c r="AJ571" s="32"/>
      <c r="AK571" s="32"/>
      <c r="AL571" s="32"/>
      <c r="AM571" s="32"/>
      <c r="AN571" s="32"/>
      <c r="AO571" s="32"/>
      <c r="AP571" s="32"/>
    </row>
    <row r="572" spans="1:42" ht="14.25" customHeight="1"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c r="AF572" s="32"/>
      <c r="AG572" s="32"/>
      <c r="AH572" s="32"/>
      <c r="AI572" s="32"/>
      <c r="AJ572" s="32"/>
      <c r="AK572" s="32"/>
      <c r="AL572" s="32"/>
      <c r="AM572" s="32"/>
      <c r="AN572" s="32"/>
      <c r="AO572" s="32"/>
      <c r="AP572" s="32"/>
    </row>
    <row r="573" spans="1:42" ht="14.25" customHeight="1"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c r="AF573" s="32"/>
      <c r="AG573" s="32"/>
      <c r="AH573" s="32"/>
      <c r="AI573" s="32"/>
      <c r="AJ573" s="32"/>
      <c r="AK573" s="32"/>
      <c r="AL573" s="32"/>
      <c r="AM573" s="32"/>
      <c r="AN573" s="32"/>
      <c r="AO573" s="32"/>
      <c r="AP573" s="32"/>
    </row>
    <row r="574" spans="1:42" ht="14.25" customHeight="1"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c r="AF574" s="32"/>
      <c r="AG574" s="32"/>
      <c r="AH574" s="32"/>
      <c r="AI574" s="32"/>
      <c r="AJ574" s="32"/>
      <c r="AK574" s="32"/>
      <c r="AL574" s="32"/>
      <c r="AM574" s="32"/>
      <c r="AN574" s="32"/>
      <c r="AO574" s="32"/>
      <c r="AP574" s="32"/>
    </row>
    <row r="575" spans="1:42" ht="14.25" customHeight="1"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c r="AF575" s="32"/>
      <c r="AG575" s="32"/>
      <c r="AH575" s="32"/>
      <c r="AI575" s="32"/>
      <c r="AJ575" s="32"/>
      <c r="AK575" s="32"/>
      <c r="AL575" s="32"/>
      <c r="AM575" s="32"/>
      <c r="AN575" s="32"/>
      <c r="AO575" s="32"/>
      <c r="AP575" s="32"/>
    </row>
    <row r="576" spans="1:42" ht="14.25" customHeight="1"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c r="AF576" s="32"/>
      <c r="AG576" s="32"/>
      <c r="AH576" s="32"/>
      <c r="AI576" s="32"/>
      <c r="AJ576" s="32"/>
      <c r="AK576" s="32"/>
      <c r="AL576" s="32"/>
      <c r="AM576" s="32"/>
      <c r="AN576" s="32"/>
      <c r="AO576" s="32"/>
      <c r="AP576" s="32"/>
    </row>
    <row r="577" spans="1:42" ht="14.25" customHeight="1"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c r="AF577" s="32"/>
      <c r="AG577" s="32"/>
      <c r="AH577" s="32"/>
      <c r="AI577" s="32"/>
      <c r="AJ577" s="32"/>
      <c r="AK577" s="32"/>
      <c r="AL577" s="32"/>
      <c r="AM577" s="32"/>
      <c r="AN577" s="32"/>
      <c r="AO577" s="32"/>
      <c r="AP577" s="32"/>
    </row>
    <row r="578" spans="1:42" ht="14.25" customHeight="1"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c r="AF578" s="32"/>
      <c r="AG578" s="32"/>
      <c r="AH578" s="32"/>
      <c r="AI578" s="32"/>
      <c r="AJ578" s="32"/>
      <c r="AK578" s="32"/>
      <c r="AL578" s="32"/>
      <c r="AM578" s="32"/>
      <c r="AN578" s="32"/>
      <c r="AO578" s="32"/>
      <c r="AP578" s="32"/>
    </row>
    <row r="579" spans="1:42" ht="14.25" customHeight="1"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c r="AF579" s="32"/>
      <c r="AG579" s="32"/>
      <c r="AH579" s="32"/>
      <c r="AI579" s="32"/>
      <c r="AJ579" s="32"/>
      <c r="AK579" s="32"/>
      <c r="AL579" s="32"/>
      <c r="AM579" s="32"/>
      <c r="AN579" s="32"/>
      <c r="AO579" s="32"/>
      <c r="AP579" s="32"/>
    </row>
    <row r="580" spans="1:42" ht="14.25" customHeight="1"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c r="AF580" s="32"/>
      <c r="AG580" s="32"/>
      <c r="AH580" s="32"/>
      <c r="AI580" s="32"/>
      <c r="AJ580" s="32"/>
      <c r="AK580" s="32"/>
      <c r="AL580" s="32"/>
      <c r="AM580" s="32"/>
      <c r="AN580" s="32"/>
      <c r="AO580" s="32"/>
      <c r="AP580" s="32"/>
    </row>
    <row r="581" spans="1:42" ht="14.25" customHeight="1"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c r="AF581" s="32"/>
      <c r="AG581" s="32"/>
      <c r="AH581" s="32"/>
      <c r="AI581" s="32"/>
      <c r="AJ581" s="32"/>
      <c r="AK581" s="32"/>
      <c r="AL581" s="32"/>
      <c r="AM581" s="32"/>
      <c r="AN581" s="32"/>
      <c r="AO581" s="32"/>
      <c r="AP581" s="32"/>
    </row>
    <row r="582" spans="1:42" ht="14.25" customHeight="1"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c r="AF582" s="32"/>
      <c r="AG582" s="32"/>
      <c r="AH582" s="32"/>
      <c r="AI582" s="32"/>
      <c r="AJ582" s="32"/>
      <c r="AK582" s="32"/>
      <c r="AL582" s="32"/>
      <c r="AM582" s="32"/>
      <c r="AN582" s="32"/>
      <c r="AO582" s="32"/>
      <c r="AP582" s="32"/>
    </row>
    <row r="583" spans="1:42" ht="14.25" customHeight="1"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c r="AF583" s="32"/>
      <c r="AG583" s="32"/>
      <c r="AH583" s="32"/>
      <c r="AI583" s="32"/>
      <c r="AJ583" s="32"/>
      <c r="AK583" s="32"/>
      <c r="AL583" s="32"/>
      <c r="AM583" s="32"/>
      <c r="AN583" s="32"/>
      <c r="AO583" s="32"/>
      <c r="AP583" s="32"/>
    </row>
    <row r="584" spans="1:42" ht="14.25" customHeight="1"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c r="AF584" s="32"/>
      <c r="AG584" s="32"/>
      <c r="AH584" s="32"/>
      <c r="AI584" s="32"/>
      <c r="AJ584" s="32"/>
      <c r="AK584" s="32"/>
      <c r="AL584" s="32"/>
      <c r="AM584" s="32"/>
      <c r="AN584" s="32"/>
      <c r="AO584" s="32"/>
      <c r="AP584" s="32"/>
    </row>
    <row r="585" spans="1:42" ht="14.25" customHeight="1"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c r="AF585" s="32"/>
      <c r="AG585" s="32"/>
      <c r="AH585" s="32"/>
      <c r="AI585" s="32"/>
      <c r="AJ585" s="32"/>
      <c r="AK585" s="32"/>
      <c r="AL585" s="32"/>
      <c r="AM585" s="32"/>
      <c r="AN585" s="32"/>
      <c r="AO585" s="32"/>
      <c r="AP585" s="32"/>
    </row>
    <row r="586" spans="1:42" ht="14.25" customHeight="1"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c r="AF586" s="32"/>
      <c r="AG586" s="32"/>
      <c r="AH586" s="32"/>
      <c r="AI586" s="32"/>
      <c r="AJ586" s="32"/>
      <c r="AK586" s="32"/>
      <c r="AL586" s="32"/>
      <c r="AM586" s="32"/>
      <c r="AN586" s="32"/>
      <c r="AO586" s="32"/>
      <c r="AP586" s="32"/>
    </row>
    <row r="587" spans="1:42" ht="14.25" customHeight="1"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c r="AF587" s="32"/>
      <c r="AG587" s="32"/>
      <c r="AH587" s="32"/>
      <c r="AI587" s="32"/>
      <c r="AJ587" s="32"/>
      <c r="AK587" s="32"/>
      <c r="AL587" s="32"/>
      <c r="AM587" s="32"/>
      <c r="AN587" s="32"/>
      <c r="AO587" s="32"/>
      <c r="AP587" s="32"/>
    </row>
    <row r="588" spans="1:42" ht="14.25" customHeight="1"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c r="AF588" s="32"/>
      <c r="AG588" s="32"/>
      <c r="AH588" s="32"/>
      <c r="AI588" s="32"/>
      <c r="AJ588" s="32"/>
      <c r="AK588" s="32"/>
      <c r="AL588" s="32"/>
      <c r="AM588" s="32"/>
      <c r="AN588" s="32"/>
      <c r="AO588" s="32"/>
      <c r="AP588" s="32"/>
    </row>
    <row r="589" spans="1:42" ht="14.25" customHeight="1"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c r="AF589" s="32"/>
      <c r="AG589" s="32"/>
      <c r="AH589" s="32"/>
      <c r="AI589" s="32"/>
      <c r="AJ589" s="32"/>
      <c r="AK589" s="32"/>
      <c r="AL589" s="32"/>
      <c r="AM589" s="32"/>
      <c r="AN589" s="32"/>
      <c r="AO589" s="32"/>
      <c r="AP589" s="32"/>
    </row>
    <row r="590" spans="1:42" ht="14.25" customHeight="1"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c r="AF590" s="32"/>
      <c r="AG590" s="32"/>
      <c r="AH590" s="32"/>
      <c r="AI590" s="32"/>
      <c r="AJ590" s="32"/>
      <c r="AK590" s="32"/>
      <c r="AL590" s="32"/>
      <c r="AM590" s="32"/>
      <c r="AN590" s="32"/>
      <c r="AO590" s="32"/>
      <c r="AP590" s="32"/>
    </row>
    <row r="591" spans="1:42" ht="14.25" customHeight="1"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c r="AF591" s="32"/>
      <c r="AG591" s="32"/>
      <c r="AH591" s="32"/>
      <c r="AI591" s="32"/>
      <c r="AJ591" s="32"/>
      <c r="AK591" s="32"/>
      <c r="AL591" s="32"/>
      <c r="AM591" s="32"/>
      <c r="AN591" s="32"/>
      <c r="AO591" s="32"/>
      <c r="AP591" s="32"/>
    </row>
    <row r="592" spans="1:42" ht="14.25" customHeight="1"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c r="AF592" s="32"/>
      <c r="AG592" s="32"/>
      <c r="AH592" s="32"/>
      <c r="AI592" s="32"/>
      <c r="AJ592" s="32"/>
      <c r="AK592" s="32"/>
      <c r="AL592" s="32"/>
      <c r="AM592" s="32"/>
      <c r="AN592" s="32"/>
      <c r="AO592" s="32"/>
      <c r="AP592" s="32"/>
    </row>
    <row r="593" spans="1:42" ht="14.25" customHeight="1"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c r="AF593" s="32"/>
      <c r="AG593" s="32"/>
      <c r="AH593" s="32"/>
      <c r="AI593" s="32"/>
      <c r="AJ593" s="32"/>
      <c r="AK593" s="32"/>
      <c r="AL593" s="32"/>
      <c r="AM593" s="32"/>
      <c r="AN593" s="32"/>
      <c r="AO593" s="32"/>
      <c r="AP593" s="32"/>
    </row>
    <row r="594" spans="1:42" ht="14.25" customHeight="1"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c r="AF594" s="32"/>
      <c r="AG594" s="32"/>
      <c r="AH594" s="32"/>
      <c r="AI594" s="32"/>
      <c r="AJ594" s="32"/>
      <c r="AK594" s="32"/>
      <c r="AL594" s="32"/>
      <c r="AM594" s="32"/>
      <c r="AN594" s="32"/>
      <c r="AO594" s="32"/>
      <c r="AP594" s="32"/>
    </row>
    <row r="595" spans="1:42" ht="14.25" customHeight="1"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c r="AF595" s="32"/>
      <c r="AG595" s="32"/>
      <c r="AH595" s="32"/>
      <c r="AI595" s="32"/>
      <c r="AJ595" s="32"/>
      <c r="AK595" s="32"/>
      <c r="AL595" s="32"/>
      <c r="AM595" s="32"/>
      <c r="AN595" s="32"/>
      <c r="AO595" s="32"/>
      <c r="AP595" s="32"/>
    </row>
    <row r="596" spans="1:42" ht="14.25" customHeight="1"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c r="AF596" s="32"/>
      <c r="AG596" s="32"/>
      <c r="AH596" s="32"/>
      <c r="AI596" s="32"/>
      <c r="AJ596" s="32"/>
      <c r="AK596" s="32"/>
      <c r="AL596" s="32"/>
      <c r="AM596" s="32"/>
      <c r="AN596" s="32"/>
      <c r="AO596" s="32"/>
      <c r="AP596" s="32"/>
    </row>
    <row r="597" spans="1:42" ht="14.25" customHeight="1"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c r="AF597" s="32"/>
      <c r="AG597" s="32"/>
      <c r="AH597" s="32"/>
      <c r="AI597" s="32"/>
      <c r="AJ597" s="32"/>
      <c r="AK597" s="32"/>
      <c r="AL597" s="32"/>
      <c r="AM597" s="32"/>
      <c r="AN597" s="32"/>
      <c r="AO597" s="32"/>
      <c r="AP597" s="32"/>
    </row>
    <row r="598" spans="1:42" ht="14.25" customHeight="1"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c r="AL598" s="32"/>
      <c r="AM598" s="32"/>
      <c r="AN598" s="32"/>
      <c r="AO598" s="32"/>
      <c r="AP598" s="32"/>
    </row>
    <row r="599" spans="1:42" ht="14.25" customHeight="1"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c r="AL599" s="32"/>
      <c r="AM599" s="32"/>
      <c r="AN599" s="32"/>
      <c r="AO599" s="32"/>
      <c r="AP599" s="32"/>
    </row>
    <row r="600" spans="1:42" ht="14.25" customHeight="1"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c r="AL600" s="32"/>
      <c r="AM600" s="32"/>
      <c r="AN600" s="32"/>
      <c r="AO600" s="32"/>
      <c r="AP600" s="32"/>
    </row>
    <row r="601" spans="1:42" ht="14.25" customHeight="1"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c r="AL601" s="32"/>
      <c r="AM601" s="32"/>
      <c r="AN601" s="32"/>
      <c r="AO601" s="32"/>
      <c r="AP601" s="32"/>
    </row>
    <row r="602" spans="1:42" ht="14.25" customHeight="1"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c r="AL602" s="32"/>
      <c r="AM602" s="32"/>
      <c r="AN602" s="32"/>
      <c r="AO602" s="32"/>
      <c r="AP602" s="32"/>
    </row>
    <row r="603" spans="1:42" ht="14.25" customHeight="1"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c r="AL603" s="32"/>
      <c r="AM603" s="32"/>
      <c r="AN603" s="32"/>
      <c r="AO603" s="32"/>
      <c r="AP603" s="32"/>
    </row>
    <row r="604" spans="1:42" ht="14.25" customHeight="1"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c r="AL604" s="32"/>
      <c r="AM604" s="32"/>
      <c r="AN604" s="32"/>
      <c r="AO604" s="32"/>
      <c r="AP604" s="32"/>
    </row>
    <row r="605" spans="1:42" ht="14.25" customHeight="1"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c r="AL605" s="32"/>
      <c r="AM605" s="32"/>
      <c r="AN605" s="32"/>
      <c r="AO605" s="32"/>
      <c r="AP605" s="32"/>
    </row>
    <row r="606" spans="1:42" ht="14.25" customHeight="1"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c r="AL606" s="32"/>
      <c r="AM606" s="32"/>
      <c r="AN606" s="32"/>
      <c r="AO606" s="32"/>
      <c r="AP606" s="32"/>
    </row>
    <row r="607" spans="1:42" ht="14.25" customHeight="1"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c r="AL607" s="32"/>
      <c r="AM607" s="32"/>
      <c r="AN607" s="32"/>
      <c r="AO607" s="32"/>
      <c r="AP607" s="32"/>
    </row>
    <row r="608" spans="1:42" ht="14.25" customHeight="1"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c r="AL608" s="32"/>
      <c r="AM608" s="32"/>
      <c r="AN608" s="32"/>
      <c r="AO608" s="32"/>
      <c r="AP608" s="32"/>
    </row>
    <row r="609" spans="1:42" ht="14.25" customHeight="1"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c r="AL609" s="32"/>
      <c r="AM609" s="32"/>
      <c r="AN609" s="32"/>
      <c r="AO609" s="32"/>
      <c r="AP609" s="32"/>
    </row>
    <row r="610" spans="1:42" ht="14.25" customHeight="1"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c r="AL610" s="32"/>
      <c r="AM610" s="32"/>
      <c r="AN610" s="32"/>
      <c r="AO610" s="32"/>
      <c r="AP610" s="32"/>
    </row>
    <row r="611" spans="1:42" ht="14.25" customHeight="1"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c r="AL611" s="32"/>
      <c r="AM611" s="32"/>
      <c r="AN611" s="32"/>
      <c r="AO611" s="32"/>
      <c r="AP611" s="32"/>
    </row>
    <row r="612" spans="1:42" ht="14.25" customHeight="1"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c r="AL612" s="32"/>
      <c r="AM612" s="32"/>
      <c r="AN612" s="32"/>
      <c r="AO612" s="32"/>
      <c r="AP612" s="32"/>
    </row>
    <row r="613" spans="1:42" ht="14.25" customHeight="1"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c r="AL613" s="32"/>
      <c r="AM613" s="32"/>
      <c r="AN613" s="32"/>
      <c r="AO613" s="32"/>
      <c r="AP613" s="32"/>
    </row>
    <row r="614" spans="1:42" ht="14.25" customHeight="1"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c r="AL614" s="32"/>
      <c r="AM614" s="32"/>
      <c r="AN614" s="32"/>
      <c r="AO614" s="32"/>
      <c r="AP614" s="32"/>
    </row>
    <row r="615" spans="1:42" ht="14.25" customHeight="1"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c r="AL615" s="32"/>
      <c r="AM615" s="32"/>
      <c r="AN615" s="32"/>
      <c r="AO615" s="32"/>
      <c r="AP615" s="32"/>
    </row>
    <row r="616" spans="1:42" ht="14.25" customHeight="1"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c r="AL616" s="32"/>
      <c r="AM616" s="32"/>
      <c r="AN616" s="32"/>
      <c r="AO616" s="32"/>
      <c r="AP616" s="32"/>
    </row>
    <row r="617" spans="1:42" ht="14.25" customHeight="1"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c r="AL617" s="32"/>
      <c r="AM617" s="32"/>
      <c r="AN617" s="32"/>
      <c r="AO617" s="32"/>
      <c r="AP617" s="32"/>
    </row>
    <row r="618" spans="1:42" ht="14.25" customHeight="1"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c r="AL618" s="32"/>
      <c r="AM618" s="32"/>
      <c r="AN618" s="32"/>
      <c r="AO618" s="32"/>
      <c r="AP618" s="32"/>
    </row>
    <row r="619" spans="1:42" ht="14.25" customHeight="1"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c r="AL619" s="32"/>
      <c r="AM619" s="32"/>
      <c r="AN619" s="32"/>
      <c r="AO619" s="32"/>
      <c r="AP619" s="32"/>
    </row>
    <row r="620" spans="1:42" ht="14.25" customHeight="1"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c r="AL620" s="32"/>
      <c r="AM620" s="32"/>
      <c r="AN620" s="32"/>
      <c r="AO620" s="32"/>
      <c r="AP620" s="32"/>
    </row>
    <row r="621" spans="1:42" ht="14.25" customHeight="1"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c r="AL621" s="32"/>
      <c r="AM621" s="32"/>
      <c r="AN621" s="32"/>
      <c r="AO621" s="32"/>
      <c r="AP621" s="32"/>
    </row>
    <row r="622" spans="1:42" ht="14.25" customHeight="1"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c r="AL622" s="32"/>
      <c r="AM622" s="32"/>
      <c r="AN622" s="32"/>
      <c r="AO622" s="32"/>
      <c r="AP622" s="32"/>
    </row>
    <row r="623" spans="1:42" ht="14.25" customHeight="1"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c r="AL623" s="32"/>
      <c r="AM623" s="32"/>
      <c r="AN623" s="32"/>
      <c r="AO623" s="32"/>
      <c r="AP623" s="32"/>
    </row>
    <row r="624" spans="1:42" ht="14.25" customHeight="1"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c r="AL624" s="32"/>
      <c r="AM624" s="32"/>
      <c r="AN624" s="32"/>
      <c r="AO624" s="32"/>
      <c r="AP624" s="32"/>
    </row>
    <row r="625" spans="1:42" ht="14.25" customHeight="1"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c r="AL625" s="32"/>
      <c r="AM625" s="32"/>
      <c r="AN625" s="32"/>
      <c r="AO625" s="32"/>
      <c r="AP625" s="32"/>
    </row>
    <row r="626" spans="1:42" ht="14.25" customHeight="1"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c r="AL626" s="32"/>
      <c r="AM626" s="32"/>
      <c r="AN626" s="32"/>
      <c r="AO626" s="32"/>
      <c r="AP626" s="32"/>
    </row>
    <row r="627" spans="1:42" ht="14.25" customHeight="1"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c r="AL627" s="32"/>
      <c r="AM627" s="32"/>
      <c r="AN627" s="32"/>
      <c r="AO627" s="32"/>
      <c r="AP627" s="32"/>
    </row>
    <row r="628" spans="1:42" ht="14.25" customHeight="1"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c r="AL628" s="32"/>
      <c r="AM628" s="32"/>
      <c r="AN628" s="32"/>
      <c r="AO628" s="32"/>
      <c r="AP628" s="32"/>
    </row>
    <row r="629" spans="1:42" ht="14.25" customHeight="1"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c r="AL629" s="32"/>
      <c r="AM629" s="32"/>
      <c r="AN629" s="32"/>
      <c r="AO629" s="32"/>
      <c r="AP629" s="32"/>
    </row>
    <row r="630" spans="1:42" ht="14.25" customHeight="1"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c r="AL630" s="32"/>
      <c r="AM630" s="32"/>
      <c r="AN630" s="32"/>
      <c r="AO630" s="32"/>
      <c r="AP630" s="32"/>
    </row>
    <row r="631" spans="1:42" ht="14.25" customHeight="1"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c r="AL631" s="32"/>
      <c r="AM631" s="32"/>
      <c r="AN631" s="32"/>
      <c r="AO631" s="32"/>
      <c r="AP631" s="32"/>
    </row>
    <row r="632" spans="1:42" ht="14.25" customHeight="1"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c r="AL632" s="32"/>
      <c r="AM632" s="32"/>
      <c r="AN632" s="32"/>
      <c r="AO632" s="32"/>
      <c r="AP632" s="32"/>
    </row>
    <row r="633" spans="1:42" ht="14.25" customHeight="1"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c r="AL633" s="32"/>
      <c r="AM633" s="32"/>
      <c r="AN633" s="32"/>
      <c r="AO633" s="32"/>
      <c r="AP633" s="32"/>
    </row>
    <row r="634" spans="1:42" ht="14.25" customHeight="1"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c r="AL634" s="32"/>
      <c r="AM634" s="32"/>
      <c r="AN634" s="32"/>
      <c r="AO634" s="32"/>
      <c r="AP634" s="32"/>
    </row>
    <row r="635" spans="1:42" ht="14.25" customHeight="1"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c r="AL635" s="32"/>
      <c r="AM635" s="32"/>
      <c r="AN635" s="32"/>
      <c r="AO635" s="32"/>
      <c r="AP635" s="32"/>
    </row>
    <row r="636" spans="1:42" ht="14.25" customHeight="1"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c r="AL636" s="32"/>
      <c r="AM636" s="32"/>
      <c r="AN636" s="32"/>
      <c r="AO636" s="32"/>
      <c r="AP636" s="32"/>
    </row>
    <row r="637" spans="1:42" ht="14.25" customHeight="1"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c r="AL637" s="32"/>
      <c r="AM637" s="32"/>
      <c r="AN637" s="32"/>
      <c r="AO637" s="32"/>
      <c r="AP637" s="32"/>
    </row>
    <row r="638" spans="1:42" ht="14.25" customHeight="1"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c r="AL638" s="32"/>
      <c r="AM638" s="32"/>
      <c r="AN638" s="32"/>
      <c r="AO638" s="32"/>
      <c r="AP638" s="32"/>
    </row>
    <row r="639" spans="1:42" ht="14.25" customHeight="1"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c r="AL639" s="32"/>
      <c r="AM639" s="32"/>
      <c r="AN639" s="32"/>
      <c r="AO639" s="32"/>
      <c r="AP639" s="32"/>
    </row>
    <row r="640" spans="1:42" ht="14.25" customHeight="1"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c r="AL640" s="32"/>
      <c r="AM640" s="32"/>
      <c r="AN640" s="32"/>
      <c r="AO640" s="32"/>
      <c r="AP640" s="32"/>
    </row>
    <row r="641" spans="1:42" ht="14.25" customHeight="1"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c r="AL641" s="32"/>
      <c r="AM641" s="32"/>
      <c r="AN641" s="32"/>
      <c r="AO641" s="32"/>
      <c r="AP641" s="32"/>
    </row>
    <row r="642" spans="1:42" ht="14.25" customHeight="1"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c r="AL642" s="32"/>
      <c r="AM642" s="32"/>
      <c r="AN642" s="32"/>
      <c r="AO642" s="32"/>
      <c r="AP642" s="32"/>
    </row>
    <row r="643" spans="1:42" ht="14.25" customHeight="1"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c r="AL643" s="32"/>
      <c r="AM643" s="32"/>
      <c r="AN643" s="32"/>
      <c r="AO643" s="32"/>
      <c r="AP643" s="32"/>
    </row>
    <row r="644" spans="1:42" ht="14.25" customHeight="1"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c r="AL644" s="32"/>
      <c r="AM644" s="32"/>
      <c r="AN644" s="32"/>
      <c r="AO644" s="32"/>
      <c r="AP644" s="32"/>
    </row>
    <row r="645" spans="1:42" ht="14.25" customHeight="1"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c r="AL645" s="32"/>
      <c r="AM645" s="32"/>
      <c r="AN645" s="32"/>
      <c r="AO645" s="32"/>
      <c r="AP645" s="32"/>
    </row>
    <row r="646" spans="1:42" ht="14.25" customHeight="1"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c r="AL646" s="32"/>
      <c r="AM646" s="32"/>
      <c r="AN646" s="32"/>
      <c r="AO646" s="32"/>
      <c r="AP646" s="32"/>
    </row>
    <row r="647" spans="1:42" ht="14.25" customHeight="1"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c r="AL647" s="32"/>
      <c r="AM647" s="32"/>
      <c r="AN647" s="32"/>
      <c r="AO647" s="32"/>
      <c r="AP647" s="32"/>
    </row>
    <row r="648" spans="1:42" ht="14.25" customHeight="1"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c r="AL648" s="32"/>
      <c r="AM648" s="32"/>
      <c r="AN648" s="32"/>
      <c r="AO648" s="32"/>
      <c r="AP648" s="32"/>
    </row>
    <row r="649" spans="1:42" ht="14.25" customHeight="1"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c r="AL649" s="32"/>
      <c r="AM649" s="32"/>
      <c r="AN649" s="32"/>
      <c r="AO649" s="32"/>
      <c r="AP649" s="32"/>
    </row>
    <row r="650" spans="1:42" ht="14.25" customHeight="1"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c r="AL650" s="32"/>
      <c r="AM650" s="32"/>
      <c r="AN650" s="32"/>
      <c r="AO650" s="32"/>
      <c r="AP650" s="32"/>
    </row>
    <row r="651" spans="1:42" ht="14.25" customHeight="1"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c r="AL651" s="32"/>
      <c r="AM651" s="32"/>
      <c r="AN651" s="32"/>
      <c r="AO651" s="32"/>
      <c r="AP651" s="32"/>
    </row>
    <row r="652" spans="1:42" ht="14.25" customHeight="1"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c r="AL652" s="32"/>
      <c r="AM652" s="32"/>
      <c r="AN652" s="32"/>
      <c r="AO652" s="32"/>
      <c r="AP652" s="32"/>
    </row>
    <row r="653" spans="1:42" ht="14.25" customHeight="1"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c r="AL653" s="32"/>
      <c r="AM653" s="32"/>
      <c r="AN653" s="32"/>
      <c r="AO653" s="32"/>
      <c r="AP653" s="32"/>
    </row>
    <row r="654" spans="1:42" ht="14.25" customHeight="1"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c r="AL654" s="32"/>
      <c r="AM654" s="32"/>
      <c r="AN654" s="32"/>
      <c r="AO654" s="32"/>
      <c r="AP654" s="32"/>
    </row>
    <row r="655" spans="1:42" ht="14.25" customHeight="1"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c r="AL655" s="32"/>
      <c r="AM655" s="32"/>
      <c r="AN655" s="32"/>
      <c r="AO655" s="32"/>
      <c r="AP655" s="32"/>
    </row>
    <row r="656" spans="1:42" ht="14.25" customHeight="1"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c r="AL656" s="32"/>
      <c r="AM656" s="32"/>
      <c r="AN656" s="32"/>
      <c r="AO656" s="32"/>
      <c r="AP656" s="32"/>
    </row>
    <row r="657" spans="1:42" ht="14.25" customHeight="1"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c r="AL657" s="32"/>
      <c r="AM657" s="32"/>
      <c r="AN657" s="32"/>
      <c r="AO657" s="32"/>
      <c r="AP657" s="32"/>
    </row>
    <row r="658" spans="1:42" ht="14.25" customHeight="1"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c r="AL658" s="32"/>
      <c r="AM658" s="32"/>
      <c r="AN658" s="32"/>
      <c r="AO658" s="32"/>
      <c r="AP658" s="32"/>
    </row>
    <row r="659" spans="1:42" ht="14.25" customHeight="1"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c r="AL659" s="32"/>
      <c r="AM659" s="32"/>
      <c r="AN659" s="32"/>
      <c r="AO659" s="32"/>
      <c r="AP659" s="32"/>
    </row>
    <row r="660" spans="1:42" ht="14.25" customHeight="1"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c r="AL660" s="32"/>
      <c r="AM660" s="32"/>
      <c r="AN660" s="32"/>
      <c r="AO660" s="32"/>
      <c r="AP660" s="32"/>
    </row>
    <row r="661" spans="1:42" ht="14.25" customHeight="1"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c r="AL661" s="32"/>
      <c r="AM661" s="32"/>
      <c r="AN661" s="32"/>
      <c r="AO661" s="32"/>
      <c r="AP661" s="32"/>
    </row>
    <row r="662" spans="1:42" ht="14.25" customHeight="1"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c r="AL662" s="32"/>
      <c r="AM662" s="32"/>
      <c r="AN662" s="32"/>
      <c r="AO662" s="32"/>
      <c r="AP662" s="32"/>
    </row>
    <row r="663" spans="1:42" ht="14.25" customHeight="1"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c r="AL663" s="32"/>
      <c r="AM663" s="32"/>
      <c r="AN663" s="32"/>
      <c r="AO663" s="32"/>
      <c r="AP663" s="32"/>
    </row>
    <row r="664" spans="1:42" ht="14.25" customHeight="1"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c r="AL664" s="32"/>
      <c r="AM664" s="32"/>
      <c r="AN664" s="32"/>
      <c r="AO664" s="32"/>
      <c r="AP664" s="32"/>
    </row>
    <row r="665" spans="1:42" ht="14.25" customHeight="1"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c r="AL665" s="32"/>
      <c r="AM665" s="32"/>
      <c r="AN665" s="32"/>
      <c r="AO665" s="32"/>
      <c r="AP665" s="32"/>
    </row>
    <row r="666" spans="1:42" ht="14.25" customHeight="1"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c r="AL666" s="32"/>
      <c r="AM666" s="32"/>
      <c r="AN666" s="32"/>
      <c r="AO666" s="32"/>
      <c r="AP666" s="32"/>
    </row>
    <row r="667" spans="1:42" ht="14.25" customHeight="1"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c r="AL667" s="32"/>
      <c r="AM667" s="32"/>
      <c r="AN667" s="32"/>
      <c r="AO667" s="32"/>
      <c r="AP667" s="32"/>
    </row>
    <row r="668" spans="1:42" ht="14.25" customHeight="1"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c r="AL668" s="32"/>
      <c r="AM668" s="32"/>
      <c r="AN668" s="32"/>
      <c r="AO668" s="32"/>
      <c r="AP668" s="32"/>
    </row>
    <row r="669" spans="1:42" ht="14.25" customHeight="1"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c r="AL669" s="32"/>
      <c r="AM669" s="32"/>
      <c r="AN669" s="32"/>
      <c r="AO669" s="32"/>
      <c r="AP669" s="32"/>
    </row>
    <row r="670" spans="1:42" ht="14.25" customHeight="1"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c r="AL670" s="32"/>
      <c r="AM670" s="32"/>
      <c r="AN670" s="32"/>
      <c r="AO670" s="32"/>
      <c r="AP670" s="32"/>
    </row>
    <row r="671" spans="1:42" ht="14.25" customHeight="1"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c r="AL671" s="32"/>
      <c r="AM671" s="32"/>
      <c r="AN671" s="32"/>
      <c r="AO671" s="32"/>
      <c r="AP671" s="32"/>
    </row>
    <row r="672" spans="1:42" ht="14.25" customHeight="1"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c r="AL672" s="32"/>
      <c r="AM672" s="32"/>
      <c r="AN672" s="32"/>
      <c r="AO672" s="32"/>
      <c r="AP672" s="32"/>
    </row>
    <row r="673" spans="1:42" ht="14.25" customHeight="1"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c r="AL673" s="32"/>
      <c r="AM673" s="32"/>
      <c r="AN673" s="32"/>
      <c r="AO673" s="32"/>
      <c r="AP673" s="32"/>
    </row>
    <row r="674" spans="1:42" ht="14.25" customHeight="1"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c r="AL674" s="32"/>
      <c r="AM674" s="32"/>
      <c r="AN674" s="32"/>
      <c r="AO674" s="32"/>
      <c r="AP674" s="32"/>
    </row>
    <row r="675" spans="1:42" ht="14.25" customHeight="1"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c r="AL675" s="32"/>
      <c r="AM675" s="32"/>
      <c r="AN675" s="32"/>
      <c r="AO675" s="32"/>
      <c r="AP675" s="32"/>
    </row>
    <row r="676" spans="1:42" ht="14.25" customHeight="1"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c r="AL676" s="32"/>
      <c r="AM676" s="32"/>
      <c r="AN676" s="32"/>
      <c r="AO676" s="32"/>
      <c r="AP676" s="32"/>
    </row>
    <row r="677" spans="1:42" ht="14.25" customHeight="1"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c r="AL677" s="32"/>
      <c r="AM677" s="32"/>
      <c r="AN677" s="32"/>
      <c r="AO677" s="32"/>
      <c r="AP677" s="32"/>
    </row>
    <row r="678" spans="1:42" ht="14.25" customHeight="1"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c r="AL678" s="32"/>
      <c r="AM678" s="32"/>
      <c r="AN678" s="32"/>
      <c r="AO678" s="32"/>
      <c r="AP678" s="32"/>
    </row>
    <row r="679" spans="1:42" ht="14.25" customHeight="1"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c r="AL679" s="32"/>
      <c r="AM679" s="32"/>
      <c r="AN679" s="32"/>
      <c r="AO679" s="32"/>
      <c r="AP679" s="32"/>
    </row>
    <row r="680" spans="1:42" ht="14.25" customHeight="1"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c r="AL680" s="32"/>
      <c r="AM680" s="32"/>
      <c r="AN680" s="32"/>
      <c r="AO680" s="32"/>
      <c r="AP680" s="32"/>
    </row>
    <row r="681" spans="1:42" ht="14.25" customHeight="1"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c r="AL681" s="32"/>
      <c r="AM681" s="32"/>
      <c r="AN681" s="32"/>
      <c r="AO681" s="32"/>
      <c r="AP681" s="32"/>
    </row>
    <row r="682" spans="1:42" ht="14.25" customHeight="1"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c r="AL682" s="32"/>
      <c r="AM682" s="32"/>
      <c r="AN682" s="32"/>
      <c r="AO682" s="32"/>
      <c r="AP682" s="32"/>
    </row>
    <row r="683" spans="1:42" ht="14.25" customHeight="1"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c r="AL683" s="32"/>
      <c r="AM683" s="32"/>
      <c r="AN683" s="32"/>
      <c r="AO683" s="32"/>
      <c r="AP683" s="32"/>
    </row>
    <row r="684" spans="1:42" ht="14.25" customHeight="1"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c r="AL684" s="32"/>
      <c r="AM684" s="32"/>
      <c r="AN684" s="32"/>
      <c r="AO684" s="32"/>
      <c r="AP684" s="32"/>
    </row>
    <row r="685" spans="1:42" ht="14.25" customHeight="1"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c r="AL685" s="32"/>
      <c r="AM685" s="32"/>
      <c r="AN685" s="32"/>
      <c r="AO685" s="32"/>
      <c r="AP685" s="32"/>
    </row>
    <row r="686" spans="1:42" ht="14.25" customHeight="1"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c r="AL686" s="32"/>
      <c r="AM686" s="32"/>
      <c r="AN686" s="32"/>
      <c r="AO686" s="32"/>
      <c r="AP686" s="32"/>
    </row>
    <row r="687" spans="1:42" ht="14.25" customHeight="1"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c r="AL687" s="32"/>
      <c r="AM687" s="32"/>
      <c r="AN687" s="32"/>
      <c r="AO687" s="32"/>
      <c r="AP687" s="32"/>
    </row>
    <row r="688" spans="1:42" ht="14.25" customHeight="1"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c r="AL688" s="32"/>
      <c r="AM688" s="32"/>
      <c r="AN688" s="32"/>
      <c r="AO688" s="32"/>
      <c r="AP688" s="32"/>
    </row>
    <row r="689" spans="1:42" ht="14.25" customHeight="1"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c r="AL689" s="32"/>
      <c r="AM689" s="32"/>
      <c r="AN689" s="32"/>
      <c r="AO689" s="32"/>
      <c r="AP689" s="32"/>
    </row>
    <row r="690" spans="1:42" ht="14.25" customHeight="1"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c r="AL690" s="32"/>
      <c r="AM690" s="32"/>
      <c r="AN690" s="32"/>
      <c r="AO690" s="32"/>
      <c r="AP690" s="32"/>
    </row>
    <row r="691" spans="1:42" ht="14.25" customHeight="1"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c r="AL691" s="32"/>
      <c r="AM691" s="32"/>
      <c r="AN691" s="32"/>
      <c r="AO691" s="32"/>
      <c r="AP691" s="32"/>
    </row>
    <row r="692" spans="1:42" ht="14.25" customHeight="1"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c r="AL692" s="32"/>
      <c r="AM692" s="32"/>
      <c r="AN692" s="32"/>
      <c r="AO692" s="32"/>
      <c r="AP692" s="32"/>
    </row>
    <row r="693" spans="1:42" ht="14.25" customHeight="1"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c r="AL693" s="32"/>
      <c r="AM693" s="32"/>
      <c r="AN693" s="32"/>
      <c r="AO693" s="32"/>
      <c r="AP693" s="32"/>
    </row>
    <row r="694" spans="1:42" ht="14.25" customHeight="1"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c r="AL694" s="32"/>
      <c r="AM694" s="32"/>
      <c r="AN694" s="32"/>
      <c r="AO694" s="32"/>
      <c r="AP694" s="32"/>
    </row>
    <row r="695" spans="1:42" ht="14.25" customHeight="1"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c r="AL695" s="32"/>
      <c r="AM695" s="32"/>
      <c r="AN695" s="32"/>
      <c r="AO695" s="32"/>
      <c r="AP695" s="32"/>
    </row>
    <row r="696" spans="1:42" ht="14.25" customHeight="1"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c r="AL696" s="32"/>
      <c r="AM696" s="32"/>
      <c r="AN696" s="32"/>
      <c r="AO696" s="32"/>
      <c r="AP696" s="32"/>
    </row>
    <row r="697" spans="1:42" ht="14.25" customHeight="1"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c r="AL697" s="32"/>
      <c r="AM697" s="32"/>
      <c r="AN697" s="32"/>
      <c r="AO697" s="32"/>
      <c r="AP697" s="32"/>
    </row>
    <row r="698" spans="1:42" ht="14.25" customHeight="1"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c r="AL698" s="32"/>
      <c r="AM698" s="32"/>
      <c r="AN698" s="32"/>
      <c r="AO698" s="32"/>
      <c r="AP698" s="32"/>
    </row>
    <row r="699" spans="1:42" ht="14.25" customHeight="1"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c r="AL699" s="32"/>
      <c r="AM699" s="32"/>
      <c r="AN699" s="32"/>
      <c r="AO699" s="32"/>
      <c r="AP699" s="32"/>
    </row>
    <row r="700" spans="1:42" ht="14.25" customHeight="1"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c r="AL700" s="32"/>
      <c r="AM700" s="32"/>
      <c r="AN700" s="32"/>
      <c r="AO700" s="32"/>
      <c r="AP700" s="32"/>
    </row>
    <row r="701" spans="1:42" ht="14.25" customHeight="1"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c r="AL701" s="32"/>
      <c r="AM701" s="32"/>
      <c r="AN701" s="32"/>
      <c r="AO701" s="32"/>
      <c r="AP701" s="32"/>
    </row>
    <row r="702" spans="1:42" ht="14.25" customHeight="1"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c r="AL702" s="32"/>
      <c r="AM702" s="32"/>
      <c r="AN702" s="32"/>
      <c r="AO702" s="32"/>
      <c r="AP702" s="32"/>
    </row>
    <row r="703" spans="1:42" ht="14.25" customHeight="1"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c r="AL703" s="32"/>
      <c r="AM703" s="32"/>
      <c r="AN703" s="32"/>
      <c r="AO703" s="32"/>
      <c r="AP703" s="32"/>
    </row>
    <row r="704" spans="1:42" ht="14.25" customHeight="1"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c r="AL704" s="32"/>
      <c r="AM704" s="32"/>
      <c r="AN704" s="32"/>
      <c r="AO704" s="32"/>
      <c r="AP704" s="32"/>
    </row>
    <row r="705" spans="1:42" ht="14.25" customHeight="1"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c r="AL705" s="32"/>
      <c r="AM705" s="32"/>
      <c r="AN705" s="32"/>
      <c r="AO705" s="32"/>
      <c r="AP705" s="32"/>
    </row>
    <row r="706" spans="1:42" ht="14.25" customHeight="1"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c r="AL706" s="32"/>
      <c r="AM706" s="32"/>
      <c r="AN706" s="32"/>
      <c r="AO706" s="32"/>
      <c r="AP706" s="32"/>
    </row>
    <row r="707" spans="1:42" ht="14.25" customHeight="1"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c r="AL707" s="32"/>
      <c r="AM707" s="32"/>
      <c r="AN707" s="32"/>
      <c r="AO707" s="32"/>
      <c r="AP707" s="32"/>
    </row>
    <row r="708" spans="1:42" ht="14.25" customHeight="1"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c r="AL708" s="32"/>
      <c r="AM708" s="32"/>
      <c r="AN708" s="32"/>
      <c r="AO708" s="32"/>
      <c r="AP708" s="32"/>
    </row>
    <row r="709" spans="1:42" ht="14.25" customHeight="1"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c r="AL709" s="32"/>
      <c r="AM709" s="32"/>
      <c r="AN709" s="32"/>
      <c r="AO709" s="32"/>
      <c r="AP709" s="32"/>
    </row>
    <row r="710" spans="1:42" ht="14.25" customHeight="1"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c r="AL710" s="32"/>
      <c r="AM710" s="32"/>
      <c r="AN710" s="32"/>
      <c r="AO710" s="32"/>
      <c r="AP710" s="32"/>
    </row>
    <row r="711" spans="1:42" ht="14.25" customHeight="1"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c r="AL711" s="32"/>
      <c r="AM711" s="32"/>
      <c r="AN711" s="32"/>
      <c r="AO711" s="32"/>
      <c r="AP711" s="32"/>
    </row>
    <row r="712" spans="1:42" ht="14.25" customHeight="1"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c r="AL712" s="32"/>
      <c r="AM712" s="32"/>
      <c r="AN712" s="32"/>
      <c r="AO712" s="32"/>
      <c r="AP712" s="32"/>
    </row>
    <row r="713" spans="1:42" ht="14.25" customHeight="1"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c r="AL713" s="32"/>
      <c r="AM713" s="32"/>
      <c r="AN713" s="32"/>
      <c r="AO713" s="32"/>
      <c r="AP713" s="32"/>
    </row>
    <row r="714" spans="1:42" ht="14.25" customHeight="1"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c r="AL714" s="32"/>
      <c r="AM714" s="32"/>
      <c r="AN714" s="32"/>
      <c r="AO714" s="32"/>
      <c r="AP714" s="32"/>
    </row>
    <row r="715" spans="1:42" ht="14.25" customHeight="1"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c r="AL715" s="32"/>
      <c r="AM715" s="32"/>
      <c r="AN715" s="32"/>
      <c r="AO715" s="32"/>
      <c r="AP715" s="32"/>
    </row>
    <row r="716" spans="1:42" ht="14.25" customHeight="1"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c r="AL716" s="32"/>
      <c r="AM716" s="32"/>
      <c r="AN716" s="32"/>
      <c r="AO716" s="32"/>
      <c r="AP716" s="32"/>
    </row>
    <row r="717" spans="1:42" ht="14.25" customHeight="1"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c r="AL717" s="32"/>
      <c r="AM717" s="32"/>
      <c r="AN717" s="32"/>
      <c r="AO717" s="32"/>
      <c r="AP717" s="32"/>
    </row>
    <row r="718" spans="1:42" ht="14.25" customHeight="1"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c r="AL718" s="32"/>
      <c r="AM718" s="32"/>
      <c r="AN718" s="32"/>
      <c r="AO718" s="32"/>
      <c r="AP718" s="32"/>
    </row>
    <row r="719" spans="1:42" ht="14.25" customHeight="1"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c r="AL719" s="32"/>
      <c r="AM719" s="32"/>
      <c r="AN719" s="32"/>
      <c r="AO719" s="32"/>
      <c r="AP719" s="32"/>
    </row>
    <row r="720" spans="1:42" ht="14.25" customHeight="1"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c r="AL720" s="32"/>
      <c r="AM720" s="32"/>
      <c r="AN720" s="32"/>
      <c r="AO720" s="32"/>
      <c r="AP720" s="32"/>
    </row>
    <row r="721" spans="1:42" ht="14.25" customHeight="1"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c r="AL721" s="32"/>
      <c r="AM721" s="32"/>
      <c r="AN721" s="32"/>
      <c r="AO721" s="32"/>
      <c r="AP721" s="32"/>
    </row>
    <row r="722" spans="1:42" ht="14.25" customHeight="1"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c r="AL722" s="32"/>
      <c r="AM722" s="32"/>
      <c r="AN722" s="32"/>
      <c r="AO722" s="32"/>
      <c r="AP722" s="32"/>
    </row>
    <row r="723" spans="1:42" ht="14.25" customHeight="1"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c r="AL723" s="32"/>
      <c r="AM723" s="32"/>
      <c r="AN723" s="32"/>
      <c r="AO723" s="32"/>
      <c r="AP723" s="32"/>
    </row>
    <row r="724" spans="1:42" ht="14.25" customHeight="1"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c r="AL724" s="32"/>
      <c r="AM724" s="32"/>
      <c r="AN724" s="32"/>
      <c r="AO724" s="32"/>
      <c r="AP724" s="32"/>
    </row>
    <row r="725" spans="1:42" ht="14.25" customHeight="1"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c r="AL725" s="32"/>
      <c r="AM725" s="32"/>
      <c r="AN725" s="32"/>
      <c r="AO725" s="32"/>
      <c r="AP725" s="32"/>
    </row>
    <row r="726" spans="1:42" ht="14.25" customHeight="1"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c r="AL726" s="32"/>
      <c r="AM726" s="32"/>
      <c r="AN726" s="32"/>
      <c r="AO726" s="32"/>
      <c r="AP726" s="32"/>
    </row>
    <row r="727" spans="1:42" ht="14.25" customHeight="1"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c r="AL727" s="32"/>
      <c r="AM727" s="32"/>
      <c r="AN727" s="32"/>
      <c r="AO727" s="32"/>
      <c r="AP727" s="32"/>
    </row>
    <row r="728" spans="1:42" ht="14.25" customHeight="1"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c r="AL728" s="32"/>
      <c r="AM728" s="32"/>
      <c r="AN728" s="32"/>
      <c r="AO728" s="32"/>
      <c r="AP728" s="32"/>
    </row>
    <row r="729" spans="1:42" ht="14.25" customHeight="1"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c r="AL729" s="32"/>
      <c r="AM729" s="32"/>
      <c r="AN729" s="32"/>
      <c r="AO729" s="32"/>
      <c r="AP729" s="32"/>
    </row>
    <row r="730" spans="1:42" ht="14.25" customHeight="1"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c r="AL730" s="32"/>
      <c r="AM730" s="32"/>
      <c r="AN730" s="32"/>
      <c r="AO730" s="32"/>
      <c r="AP730" s="32"/>
    </row>
    <row r="731" spans="1:42" ht="14.25" customHeight="1"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c r="AL731" s="32"/>
      <c r="AM731" s="32"/>
      <c r="AN731" s="32"/>
      <c r="AO731" s="32"/>
      <c r="AP731" s="32"/>
    </row>
    <row r="732" spans="1:42" ht="14.25" customHeight="1"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c r="AL732" s="32"/>
      <c r="AM732" s="32"/>
      <c r="AN732" s="32"/>
      <c r="AO732" s="32"/>
      <c r="AP732" s="32"/>
    </row>
    <row r="733" spans="1:42" ht="14.25" customHeight="1"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c r="AL733" s="32"/>
      <c r="AM733" s="32"/>
      <c r="AN733" s="32"/>
      <c r="AO733" s="32"/>
      <c r="AP733" s="32"/>
    </row>
    <row r="734" spans="1:42" ht="14.25" customHeight="1"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c r="AL734" s="32"/>
      <c r="AM734" s="32"/>
      <c r="AN734" s="32"/>
      <c r="AO734" s="32"/>
      <c r="AP734" s="32"/>
    </row>
    <row r="735" spans="1:42" ht="14.25" customHeight="1"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c r="AL735" s="32"/>
      <c r="AM735" s="32"/>
      <c r="AN735" s="32"/>
      <c r="AO735" s="32"/>
      <c r="AP735" s="32"/>
    </row>
    <row r="736" spans="1:42" ht="14.25" customHeight="1"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c r="AL736" s="32"/>
      <c r="AM736" s="32"/>
      <c r="AN736" s="32"/>
      <c r="AO736" s="32"/>
      <c r="AP736" s="32"/>
    </row>
    <row r="737" spans="1:42" ht="14.25" customHeight="1"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c r="AL737" s="32"/>
      <c r="AM737" s="32"/>
      <c r="AN737" s="32"/>
      <c r="AO737" s="32"/>
      <c r="AP737" s="32"/>
    </row>
    <row r="738" spans="1:42" ht="14.25" customHeight="1"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c r="AL738" s="32"/>
      <c r="AM738" s="32"/>
      <c r="AN738" s="32"/>
      <c r="AO738" s="32"/>
      <c r="AP738" s="32"/>
    </row>
    <row r="739" spans="1:42" ht="14.25" customHeight="1"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c r="AL739" s="32"/>
      <c r="AM739" s="32"/>
      <c r="AN739" s="32"/>
      <c r="AO739" s="32"/>
      <c r="AP739" s="32"/>
    </row>
    <row r="740" spans="1:42" ht="14.25" customHeight="1"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c r="AL740" s="32"/>
      <c r="AM740" s="32"/>
      <c r="AN740" s="32"/>
      <c r="AO740" s="32"/>
      <c r="AP740" s="32"/>
    </row>
    <row r="741" spans="1:42" ht="14.25" customHeight="1"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c r="AL741" s="32"/>
      <c r="AM741" s="32"/>
      <c r="AN741" s="32"/>
      <c r="AO741" s="32"/>
      <c r="AP741" s="32"/>
    </row>
    <row r="742" spans="1:42" ht="14.25" customHeight="1"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c r="AL742" s="32"/>
      <c r="AM742" s="32"/>
      <c r="AN742" s="32"/>
      <c r="AO742" s="32"/>
      <c r="AP742" s="32"/>
    </row>
    <row r="743" spans="1:42" ht="14.25" customHeight="1"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c r="AL743" s="32"/>
      <c r="AM743" s="32"/>
      <c r="AN743" s="32"/>
      <c r="AO743" s="32"/>
      <c r="AP743" s="32"/>
    </row>
    <row r="744" spans="1:42" ht="14.25" customHeight="1"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c r="AL744" s="32"/>
      <c r="AM744" s="32"/>
      <c r="AN744" s="32"/>
      <c r="AO744" s="32"/>
      <c r="AP744" s="32"/>
    </row>
    <row r="745" spans="1:42" ht="14.25" customHeight="1"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c r="AL745" s="32"/>
      <c r="AM745" s="32"/>
      <c r="AN745" s="32"/>
      <c r="AO745" s="32"/>
      <c r="AP745" s="32"/>
    </row>
    <row r="746" spans="1:42" ht="14.25" customHeight="1"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c r="AL746" s="32"/>
      <c r="AM746" s="32"/>
      <c r="AN746" s="32"/>
      <c r="AO746" s="32"/>
      <c r="AP746" s="32"/>
    </row>
    <row r="747" spans="1:42" ht="14.25" customHeight="1"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c r="AL747" s="32"/>
      <c r="AM747" s="32"/>
      <c r="AN747" s="32"/>
      <c r="AO747" s="32"/>
      <c r="AP747" s="32"/>
    </row>
    <row r="748" spans="1:42" ht="14.25" customHeight="1"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c r="AL748" s="32"/>
      <c r="AM748" s="32"/>
      <c r="AN748" s="32"/>
      <c r="AO748" s="32"/>
      <c r="AP748" s="32"/>
    </row>
    <row r="749" spans="1:42" ht="14.25" customHeight="1"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c r="AL749" s="32"/>
      <c r="AM749" s="32"/>
      <c r="AN749" s="32"/>
      <c r="AO749" s="32"/>
      <c r="AP749" s="32"/>
    </row>
    <row r="750" spans="1:42" ht="14.25" customHeight="1"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c r="AL750" s="32"/>
      <c r="AM750" s="32"/>
      <c r="AN750" s="32"/>
      <c r="AO750" s="32"/>
      <c r="AP750" s="32"/>
    </row>
    <row r="751" spans="1:42" ht="14.25" customHeight="1"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c r="AL751" s="32"/>
      <c r="AM751" s="32"/>
      <c r="AN751" s="32"/>
      <c r="AO751" s="32"/>
      <c r="AP751" s="32"/>
    </row>
    <row r="752" spans="1:42" ht="14.25" customHeight="1"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c r="AL752" s="32"/>
      <c r="AM752" s="32"/>
      <c r="AN752" s="32"/>
      <c r="AO752" s="32"/>
      <c r="AP752" s="32"/>
    </row>
    <row r="753" spans="1:42" ht="14.25" customHeight="1"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c r="AL753" s="32"/>
      <c r="AM753" s="32"/>
      <c r="AN753" s="32"/>
      <c r="AO753" s="32"/>
      <c r="AP753" s="32"/>
    </row>
    <row r="754" spans="1:42" ht="14.25" customHeight="1"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c r="AL754" s="32"/>
      <c r="AM754" s="32"/>
      <c r="AN754" s="32"/>
      <c r="AO754" s="32"/>
      <c r="AP754" s="32"/>
    </row>
    <row r="755" spans="1:42" ht="14.25" customHeight="1"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c r="AL755" s="32"/>
      <c r="AM755" s="32"/>
      <c r="AN755" s="32"/>
      <c r="AO755" s="32"/>
      <c r="AP755" s="32"/>
    </row>
    <row r="756" spans="1:42" ht="14.25" customHeight="1"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c r="AL756" s="32"/>
      <c r="AM756" s="32"/>
      <c r="AN756" s="32"/>
      <c r="AO756" s="32"/>
      <c r="AP756" s="32"/>
    </row>
    <row r="757" spans="1:42" ht="14.25" customHeight="1"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c r="AL757" s="32"/>
      <c r="AM757" s="32"/>
      <c r="AN757" s="32"/>
      <c r="AO757" s="32"/>
      <c r="AP757" s="32"/>
    </row>
    <row r="758" spans="1:42" ht="14.25" customHeight="1"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c r="AL758" s="32"/>
      <c r="AM758" s="32"/>
      <c r="AN758" s="32"/>
      <c r="AO758" s="32"/>
      <c r="AP758" s="32"/>
    </row>
    <row r="759" spans="1:42" ht="14.25" customHeight="1"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c r="AL759" s="32"/>
      <c r="AM759" s="32"/>
      <c r="AN759" s="32"/>
      <c r="AO759" s="32"/>
      <c r="AP759" s="32"/>
    </row>
    <row r="760" spans="1:42" ht="14.25" customHeight="1"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c r="AL760" s="32"/>
      <c r="AM760" s="32"/>
      <c r="AN760" s="32"/>
      <c r="AO760" s="32"/>
      <c r="AP760" s="32"/>
    </row>
    <row r="761" spans="1:42" ht="14.25" customHeight="1"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c r="AL761" s="32"/>
      <c r="AM761" s="32"/>
      <c r="AN761" s="32"/>
      <c r="AO761" s="32"/>
      <c r="AP761" s="32"/>
    </row>
    <row r="762" spans="1:42" ht="14.25" customHeight="1"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c r="AL762" s="32"/>
      <c r="AM762" s="32"/>
      <c r="AN762" s="32"/>
      <c r="AO762" s="32"/>
      <c r="AP762" s="32"/>
    </row>
    <row r="763" spans="1:42" ht="14.25" customHeight="1"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c r="AL763" s="32"/>
      <c r="AM763" s="32"/>
      <c r="AN763" s="32"/>
      <c r="AO763" s="32"/>
      <c r="AP763" s="32"/>
    </row>
    <row r="764" spans="1:42" ht="14.25" customHeight="1"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c r="AL764" s="32"/>
      <c r="AM764" s="32"/>
      <c r="AN764" s="32"/>
      <c r="AO764" s="32"/>
      <c r="AP764" s="32"/>
    </row>
    <row r="765" spans="1:42" ht="14.25" customHeight="1"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c r="AL765" s="32"/>
      <c r="AM765" s="32"/>
      <c r="AN765" s="32"/>
      <c r="AO765" s="32"/>
      <c r="AP765" s="32"/>
    </row>
    <row r="766" spans="1:42" ht="14.25" customHeight="1"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c r="AL766" s="32"/>
      <c r="AM766" s="32"/>
      <c r="AN766" s="32"/>
      <c r="AO766" s="32"/>
      <c r="AP766" s="32"/>
    </row>
    <row r="767" spans="1:42" ht="14.25" customHeight="1"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c r="AL767" s="32"/>
      <c r="AM767" s="32"/>
      <c r="AN767" s="32"/>
      <c r="AO767" s="32"/>
      <c r="AP767" s="32"/>
    </row>
    <row r="768" spans="1:42" ht="14.25" customHeight="1"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c r="AL768" s="32"/>
      <c r="AM768" s="32"/>
      <c r="AN768" s="32"/>
      <c r="AO768" s="32"/>
      <c r="AP768" s="32"/>
    </row>
    <row r="769" spans="1:42" ht="14.25" customHeight="1"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c r="AL769" s="32"/>
      <c r="AM769" s="32"/>
      <c r="AN769" s="32"/>
      <c r="AO769" s="32"/>
      <c r="AP769" s="32"/>
    </row>
    <row r="770" spans="1:42" ht="14.25" customHeight="1"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c r="AL770" s="32"/>
      <c r="AM770" s="32"/>
      <c r="AN770" s="32"/>
      <c r="AO770" s="32"/>
      <c r="AP770" s="32"/>
    </row>
    <row r="771" spans="1:42" ht="14.25" customHeight="1"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c r="AL771" s="32"/>
      <c r="AM771" s="32"/>
      <c r="AN771" s="32"/>
      <c r="AO771" s="32"/>
      <c r="AP771" s="32"/>
    </row>
    <row r="772" spans="1:42" ht="14.25" customHeight="1"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c r="AL772" s="32"/>
      <c r="AM772" s="32"/>
      <c r="AN772" s="32"/>
      <c r="AO772" s="32"/>
      <c r="AP772" s="32"/>
    </row>
    <row r="773" spans="1:42" ht="14.25" customHeight="1"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c r="AL773" s="32"/>
      <c r="AM773" s="32"/>
      <c r="AN773" s="32"/>
      <c r="AO773" s="32"/>
      <c r="AP773" s="32"/>
    </row>
    <row r="774" spans="1:42" ht="14.25" customHeight="1"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c r="AL774" s="32"/>
      <c r="AM774" s="32"/>
      <c r="AN774" s="32"/>
      <c r="AO774" s="32"/>
      <c r="AP774" s="32"/>
    </row>
    <row r="775" spans="1:42" ht="14.25" customHeight="1"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c r="AL775" s="32"/>
      <c r="AM775" s="32"/>
      <c r="AN775" s="32"/>
      <c r="AO775" s="32"/>
      <c r="AP775" s="32"/>
    </row>
    <row r="776" spans="1:42" ht="14.25" customHeight="1"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c r="AL776" s="32"/>
      <c r="AM776" s="32"/>
      <c r="AN776" s="32"/>
      <c r="AO776" s="32"/>
      <c r="AP776" s="32"/>
    </row>
    <row r="777" spans="1:42" ht="14.25" customHeight="1"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c r="AL777" s="32"/>
      <c r="AM777" s="32"/>
      <c r="AN777" s="32"/>
      <c r="AO777" s="32"/>
      <c r="AP777" s="32"/>
    </row>
    <row r="778" spans="1:42" ht="14.25" customHeight="1"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c r="AL778" s="32"/>
      <c r="AM778" s="32"/>
      <c r="AN778" s="32"/>
      <c r="AO778" s="32"/>
      <c r="AP778" s="32"/>
    </row>
    <row r="779" spans="1:42" ht="14.25" customHeight="1"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c r="AL779" s="32"/>
      <c r="AM779" s="32"/>
      <c r="AN779" s="32"/>
      <c r="AO779" s="32"/>
      <c r="AP779" s="32"/>
    </row>
    <row r="780" spans="1:42" ht="14.25" customHeight="1"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c r="AL780" s="32"/>
      <c r="AM780" s="32"/>
      <c r="AN780" s="32"/>
      <c r="AO780" s="32"/>
      <c r="AP780" s="32"/>
    </row>
    <row r="781" spans="1:42" ht="14.25" customHeight="1"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c r="AL781" s="32"/>
      <c r="AM781" s="32"/>
      <c r="AN781" s="32"/>
      <c r="AO781" s="32"/>
      <c r="AP781" s="32"/>
    </row>
    <row r="782" spans="1:42" ht="14.25" customHeight="1"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c r="AL782" s="32"/>
      <c r="AM782" s="32"/>
      <c r="AN782" s="32"/>
      <c r="AO782" s="32"/>
      <c r="AP782" s="32"/>
    </row>
    <row r="783" spans="1:42" ht="14.25" customHeight="1"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c r="AL783" s="32"/>
      <c r="AM783" s="32"/>
      <c r="AN783" s="32"/>
      <c r="AO783" s="32"/>
      <c r="AP783" s="32"/>
    </row>
    <row r="784" spans="1:42" ht="14.25" customHeight="1"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c r="AL784" s="32"/>
      <c r="AM784" s="32"/>
      <c r="AN784" s="32"/>
      <c r="AO784" s="32"/>
      <c r="AP784" s="32"/>
    </row>
    <row r="785" spans="1:42" ht="14.25" customHeight="1"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c r="AL785" s="32"/>
      <c r="AM785" s="32"/>
      <c r="AN785" s="32"/>
      <c r="AO785" s="32"/>
      <c r="AP785" s="32"/>
    </row>
    <row r="786" spans="1:42" ht="14.25" customHeight="1"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c r="AL786" s="32"/>
      <c r="AM786" s="32"/>
      <c r="AN786" s="32"/>
      <c r="AO786" s="32"/>
      <c r="AP786" s="32"/>
    </row>
    <row r="787" spans="1:42" ht="14.25" customHeight="1"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c r="AL787" s="32"/>
      <c r="AM787" s="32"/>
      <c r="AN787" s="32"/>
      <c r="AO787" s="32"/>
      <c r="AP787" s="32"/>
    </row>
    <row r="788" spans="1:42" ht="14.25" customHeight="1"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c r="AL788" s="32"/>
      <c r="AM788" s="32"/>
      <c r="AN788" s="32"/>
      <c r="AO788" s="32"/>
      <c r="AP788" s="32"/>
    </row>
    <row r="789" spans="1:42" ht="14.25" customHeight="1"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c r="AL789" s="32"/>
      <c r="AM789" s="32"/>
      <c r="AN789" s="32"/>
      <c r="AO789" s="32"/>
      <c r="AP789" s="32"/>
    </row>
    <row r="790" spans="1:42" ht="14.25" customHeight="1"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c r="AL790" s="32"/>
      <c r="AM790" s="32"/>
      <c r="AN790" s="32"/>
      <c r="AO790" s="32"/>
      <c r="AP790" s="32"/>
    </row>
    <row r="791" spans="1:42" ht="14.25" customHeight="1"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c r="AL791" s="32"/>
      <c r="AM791" s="32"/>
      <c r="AN791" s="32"/>
      <c r="AO791" s="32"/>
      <c r="AP791" s="32"/>
    </row>
    <row r="792" spans="1:42" ht="14.25" customHeight="1"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c r="AL792" s="32"/>
      <c r="AM792" s="32"/>
      <c r="AN792" s="32"/>
      <c r="AO792" s="32"/>
      <c r="AP792" s="32"/>
    </row>
    <row r="793" spans="1:42" ht="14.25" customHeight="1"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c r="AL793" s="32"/>
      <c r="AM793" s="32"/>
      <c r="AN793" s="32"/>
      <c r="AO793" s="32"/>
      <c r="AP793" s="32"/>
    </row>
    <row r="794" spans="1:42" ht="14.25" customHeight="1"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c r="AL794" s="32"/>
      <c r="AM794" s="32"/>
      <c r="AN794" s="32"/>
      <c r="AO794" s="32"/>
      <c r="AP794" s="32"/>
    </row>
    <row r="795" spans="1:42" ht="14.25" customHeight="1"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c r="AL795" s="32"/>
      <c r="AM795" s="32"/>
      <c r="AN795" s="32"/>
      <c r="AO795" s="32"/>
      <c r="AP795" s="32"/>
    </row>
    <row r="796" spans="1:42" ht="14.25" customHeight="1"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c r="AL796" s="32"/>
      <c r="AM796" s="32"/>
      <c r="AN796" s="32"/>
      <c r="AO796" s="32"/>
      <c r="AP796" s="32"/>
    </row>
    <row r="797" spans="1:42" ht="14.25" customHeight="1"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c r="AL797" s="32"/>
      <c r="AM797" s="32"/>
      <c r="AN797" s="32"/>
      <c r="AO797" s="32"/>
      <c r="AP797" s="32"/>
    </row>
    <row r="798" spans="1:42" ht="14.25" customHeight="1"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c r="AL798" s="32"/>
      <c r="AM798" s="32"/>
      <c r="AN798" s="32"/>
      <c r="AO798" s="32"/>
      <c r="AP798" s="32"/>
    </row>
    <row r="799" spans="1:42" ht="14.25" customHeight="1"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c r="AL799" s="32"/>
      <c r="AM799" s="32"/>
      <c r="AN799" s="32"/>
      <c r="AO799" s="32"/>
      <c r="AP799" s="32"/>
    </row>
    <row r="800" spans="1:42" ht="14.25" customHeight="1"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c r="AL800" s="32"/>
      <c r="AM800" s="32"/>
      <c r="AN800" s="32"/>
      <c r="AO800" s="32"/>
      <c r="AP800" s="32"/>
    </row>
    <row r="801" spans="1:42" ht="14.25" customHeight="1"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c r="AL801" s="32"/>
      <c r="AM801" s="32"/>
      <c r="AN801" s="32"/>
      <c r="AO801" s="32"/>
      <c r="AP801" s="32"/>
    </row>
    <row r="802" spans="1:42" ht="14.25" customHeight="1"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c r="AL802" s="32"/>
      <c r="AM802" s="32"/>
      <c r="AN802" s="32"/>
      <c r="AO802" s="32"/>
      <c r="AP802" s="32"/>
    </row>
    <row r="803" spans="1:42" ht="14.25" customHeight="1"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c r="AL803" s="32"/>
      <c r="AM803" s="32"/>
      <c r="AN803" s="32"/>
      <c r="AO803" s="32"/>
      <c r="AP803" s="32"/>
    </row>
    <row r="804" spans="1:42" ht="14.25" customHeight="1"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c r="AL804" s="32"/>
      <c r="AM804" s="32"/>
      <c r="AN804" s="32"/>
      <c r="AO804" s="32"/>
      <c r="AP804" s="32"/>
    </row>
    <row r="805" spans="1:42" ht="14.25" customHeight="1"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c r="AL805" s="32"/>
      <c r="AM805" s="32"/>
      <c r="AN805" s="32"/>
      <c r="AO805" s="32"/>
      <c r="AP805" s="32"/>
    </row>
    <row r="806" spans="1:42" ht="14.25" customHeight="1"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c r="AL806" s="32"/>
      <c r="AM806" s="32"/>
      <c r="AN806" s="32"/>
      <c r="AO806" s="32"/>
      <c r="AP806" s="32"/>
    </row>
    <row r="807" spans="1:42" ht="14.25" customHeight="1"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c r="AL807" s="32"/>
      <c r="AM807" s="32"/>
      <c r="AN807" s="32"/>
      <c r="AO807" s="32"/>
      <c r="AP807" s="32"/>
    </row>
    <row r="808" spans="1:42" ht="14.25" customHeight="1"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c r="AL808" s="32"/>
      <c r="AM808" s="32"/>
      <c r="AN808" s="32"/>
      <c r="AO808" s="32"/>
      <c r="AP808" s="32"/>
    </row>
    <row r="809" spans="1:42" ht="14.25" customHeight="1"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c r="AL809" s="32"/>
      <c r="AM809" s="32"/>
      <c r="AN809" s="32"/>
      <c r="AO809" s="32"/>
      <c r="AP809" s="32"/>
    </row>
    <row r="810" spans="1:42" ht="14.25" customHeight="1"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c r="AL810" s="32"/>
      <c r="AM810" s="32"/>
      <c r="AN810" s="32"/>
      <c r="AO810" s="32"/>
      <c r="AP810" s="32"/>
    </row>
    <row r="811" spans="1:42" ht="14.25" customHeight="1"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c r="AL811" s="32"/>
      <c r="AM811" s="32"/>
      <c r="AN811" s="32"/>
      <c r="AO811" s="32"/>
      <c r="AP811" s="32"/>
    </row>
    <row r="812" spans="1:42" ht="14.25" customHeight="1"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c r="AL812" s="32"/>
      <c r="AM812" s="32"/>
      <c r="AN812" s="32"/>
      <c r="AO812" s="32"/>
      <c r="AP812" s="32"/>
    </row>
    <row r="813" spans="1:42" ht="14.25" customHeight="1"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c r="AL813" s="32"/>
      <c r="AM813" s="32"/>
      <c r="AN813" s="32"/>
      <c r="AO813" s="32"/>
      <c r="AP813" s="32"/>
    </row>
    <row r="814" spans="1:42" ht="14.25" customHeight="1"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c r="AL814" s="32"/>
      <c r="AM814" s="32"/>
      <c r="AN814" s="32"/>
      <c r="AO814" s="32"/>
      <c r="AP814" s="32"/>
    </row>
    <row r="815" spans="1:42" ht="14.25" customHeight="1"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c r="AL815" s="32"/>
      <c r="AM815" s="32"/>
      <c r="AN815" s="32"/>
      <c r="AO815" s="32"/>
      <c r="AP815" s="32"/>
    </row>
    <row r="816" spans="1:42" ht="14.25" customHeight="1"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c r="AL816" s="32"/>
      <c r="AM816" s="32"/>
      <c r="AN816" s="32"/>
      <c r="AO816" s="32"/>
      <c r="AP816" s="32"/>
    </row>
    <row r="817" spans="1:42" ht="14.25" customHeight="1"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c r="AL817" s="32"/>
      <c r="AM817" s="32"/>
      <c r="AN817" s="32"/>
      <c r="AO817" s="32"/>
      <c r="AP817" s="32"/>
    </row>
    <row r="818" spans="1:42" ht="14.25" customHeight="1"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c r="AL818" s="32"/>
      <c r="AM818" s="32"/>
      <c r="AN818" s="32"/>
      <c r="AO818" s="32"/>
      <c r="AP818" s="32"/>
    </row>
    <row r="819" spans="1:42" ht="14.25" customHeight="1"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c r="AL819" s="32"/>
      <c r="AM819" s="32"/>
      <c r="AN819" s="32"/>
      <c r="AO819" s="32"/>
      <c r="AP819" s="32"/>
    </row>
    <row r="820" spans="1:42" ht="14.25" customHeight="1"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c r="AL820" s="32"/>
      <c r="AM820" s="32"/>
      <c r="AN820" s="32"/>
      <c r="AO820" s="32"/>
      <c r="AP820" s="32"/>
    </row>
    <row r="821" spans="1:42" ht="14.25" customHeight="1"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c r="AL821" s="32"/>
      <c r="AM821" s="32"/>
      <c r="AN821" s="32"/>
      <c r="AO821" s="32"/>
      <c r="AP821" s="32"/>
    </row>
    <row r="822" spans="1:42" ht="14.25" customHeight="1"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c r="AL822" s="32"/>
      <c r="AM822" s="32"/>
      <c r="AN822" s="32"/>
      <c r="AO822" s="32"/>
      <c r="AP822" s="32"/>
    </row>
    <row r="823" spans="1:42" ht="14.25" customHeight="1"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c r="AL823" s="32"/>
      <c r="AM823" s="32"/>
      <c r="AN823" s="32"/>
      <c r="AO823" s="32"/>
      <c r="AP823" s="32"/>
    </row>
    <row r="824" spans="1:42" ht="14.25" customHeight="1"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c r="AL824" s="32"/>
      <c r="AM824" s="32"/>
      <c r="AN824" s="32"/>
      <c r="AO824" s="32"/>
      <c r="AP824" s="32"/>
    </row>
    <row r="825" spans="1:42" ht="14.25" customHeight="1"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c r="AL825" s="32"/>
      <c r="AM825" s="32"/>
      <c r="AN825" s="32"/>
      <c r="AO825" s="32"/>
      <c r="AP825" s="32"/>
    </row>
    <row r="826" spans="1:42" ht="14.25" customHeight="1"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c r="AL826" s="32"/>
      <c r="AM826" s="32"/>
      <c r="AN826" s="32"/>
      <c r="AO826" s="32"/>
      <c r="AP826" s="32"/>
    </row>
    <row r="827" spans="1:42" ht="14.25" customHeight="1"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c r="AL827" s="32"/>
      <c r="AM827" s="32"/>
      <c r="AN827" s="32"/>
      <c r="AO827" s="32"/>
      <c r="AP827" s="32"/>
    </row>
    <row r="828" spans="1:42" ht="14.25" customHeight="1"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c r="AL828" s="32"/>
      <c r="AM828" s="32"/>
      <c r="AN828" s="32"/>
      <c r="AO828" s="32"/>
      <c r="AP828" s="32"/>
    </row>
    <row r="829" spans="1:42" ht="14.25" customHeight="1"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c r="AL829" s="32"/>
      <c r="AM829" s="32"/>
      <c r="AN829" s="32"/>
      <c r="AO829" s="32"/>
      <c r="AP829" s="32"/>
    </row>
    <row r="830" spans="1:42" ht="14.25" customHeight="1"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c r="AL830" s="32"/>
      <c r="AM830" s="32"/>
      <c r="AN830" s="32"/>
      <c r="AO830" s="32"/>
      <c r="AP830" s="32"/>
    </row>
    <row r="831" spans="1:42" ht="14.25" customHeight="1"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c r="AL831" s="32"/>
      <c r="AM831" s="32"/>
      <c r="AN831" s="32"/>
      <c r="AO831" s="32"/>
      <c r="AP831" s="32"/>
    </row>
    <row r="832" spans="1:42" ht="14.25" customHeight="1"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c r="AL832" s="32"/>
      <c r="AM832" s="32"/>
      <c r="AN832" s="32"/>
      <c r="AO832" s="32"/>
      <c r="AP832" s="32"/>
    </row>
    <row r="833" spans="1:42" ht="14.25" customHeight="1"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c r="AL833" s="32"/>
      <c r="AM833" s="32"/>
      <c r="AN833" s="32"/>
      <c r="AO833" s="32"/>
      <c r="AP833" s="32"/>
    </row>
    <row r="834" spans="1:42" ht="14.25" customHeight="1"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c r="AL834" s="32"/>
      <c r="AM834" s="32"/>
      <c r="AN834" s="32"/>
      <c r="AO834" s="32"/>
      <c r="AP834" s="32"/>
    </row>
    <row r="835" spans="1:42" ht="14.25" customHeight="1"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c r="AL835" s="32"/>
      <c r="AM835" s="32"/>
      <c r="AN835" s="32"/>
      <c r="AO835" s="32"/>
      <c r="AP835" s="32"/>
    </row>
    <row r="836" spans="1:42" ht="14.25" customHeight="1"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c r="AL836" s="32"/>
      <c r="AM836" s="32"/>
      <c r="AN836" s="32"/>
      <c r="AO836" s="32"/>
      <c r="AP836" s="32"/>
    </row>
    <row r="837" spans="1:42" ht="14.25" customHeight="1"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c r="AL837" s="32"/>
      <c r="AM837" s="32"/>
      <c r="AN837" s="32"/>
      <c r="AO837" s="32"/>
      <c r="AP837" s="32"/>
    </row>
    <row r="838" spans="1:42" ht="14.25" customHeight="1"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c r="AL838" s="32"/>
      <c r="AM838" s="32"/>
      <c r="AN838" s="32"/>
      <c r="AO838" s="32"/>
      <c r="AP838" s="32"/>
    </row>
    <row r="839" spans="1:42" ht="14.25" customHeight="1"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c r="AL839" s="32"/>
      <c r="AM839" s="32"/>
      <c r="AN839" s="32"/>
      <c r="AO839" s="32"/>
      <c r="AP839" s="32"/>
    </row>
    <row r="840" spans="1:42" ht="14.25" customHeight="1"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c r="AL840" s="32"/>
      <c r="AM840" s="32"/>
      <c r="AN840" s="32"/>
      <c r="AO840" s="32"/>
      <c r="AP840" s="32"/>
    </row>
    <row r="841" spans="1:42" ht="14.25" customHeight="1"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c r="AL841" s="32"/>
      <c r="AM841" s="32"/>
      <c r="AN841" s="32"/>
      <c r="AO841" s="32"/>
      <c r="AP841" s="32"/>
    </row>
    <row r="842" spans="1:42" ht="14.25" customHeight="1"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c r="AL842" s="32"/>
      <c r="AM842" s="32"/>
      <c r="AN842" s="32"/>
      <c r="AO842" s="32"/>
      <c r="AP842" s="32"/>
    </row>
    <row r="843" spans="1:42" ht="14.25" customHeight="1"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c r="AL843" s="32"/>
      <c r="AM843" s="32"/>
      <c r="AN843" s="32"/>
      <c r="AO843" s="32"/>
      <c r="AP843" s="32"/>
    </row>
    <row r="844" spans="1:42" ht="14.25" customHeight="1"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c r="AL844" s="32"/>
      <c r="AM844" s="32"/>
      <c r="AN844" s="32"/>
      <c r="AO844" s="32"/>
      <c r="AP844" s="32"/>
    </row>
    <row r="845" spans="1:42" ht="14.25" customHeight="1"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c r="AL845" s="32"/>
      <c r="AM845" s="32"/>
      <c r="AN845" s="32"/>
      <c r="AO845" s="32"/>
      <c r="AP845" s="32"/>
    </row>
    <row r="846" spans="1:42" ht="14.25" customHeight="1"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c r="AL846" s="32"/>
      <c r="AM846" s="32"/>
      <c r="AN846" s="32"/>
      <c r="AO846" s="32"/>
      <c r="AP846" s="32"/>
    </row>
    <row r="847" spans="1:42" ht="14.25" customHeight="1"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c r="AL847" s="32"/>
      <c r="AM847" s="32"/>
      <c r="AN847" s="32"/>
      <c r="AO847" s="32"/>
      <c r="AP847" s="32"/>
    </row>
    <row r="848" spans="1:42" ht="14.25" customHeight="1"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c r="AL848" s="32"/>
      <c r="AM848" s="32"/>
      <c r="AN848" s="32"/>
      <c r="AO848" s="32"/>
      <c r="AP848" s="32"/>
    </row>
    <row r="849" spans="1:42" ht="14.25" customHeight="1"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c r="AL849" s="32"/>
      <c r="AM849" s="32"/>
      <c r="AN849" s="32"/>
      <c r="AO849" s="32"/>
      <c r="AP849" s="32"/>
    </row>
    <row r="850" spans="1:42" ht="14.25" customHeight="1"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c r="AL850" s="32"/>
      <c r="AM850" s="32"/>
      <c r="AN850" s="32"/>
      <c r="AO850" s="32"/>
      <c r="AP850" s="32"/>
    </row>
    <row r="851" spans="1:42" ht="14.25" customHeight="1"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c r="AL851" s="32"/>
      <c r="AM851" s="32"/>
      <c r="AN851" s="32"/>
      <c r="AO851" s="32"/>
      <c r="AP851" s="32"/>
    </row>
    <row r="852" spans="1:42" ht="14.25" customHeight="1"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c r="AL852" s="32"/>
      <c r="AM852" s="32"/>
      <c r="AN852" s="32"/>
      <c r="AO852" s="32"/>
      <c r="AP852" s="32"/>
    </row>
    <row r="853" spans="1:42" ht="14.25" customHeight="1"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c r="AL853" s="32"/>
      <c r="AM853" s="32"/>
      <c r="AN853" s="32"/>
      <c r="AO853" s="32"/>
      <c r="AP853" s="32"/>
    </row>
    <row r="854" spans="1:42" ht="14.25" customHeight="1"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c r="AL854" s="32"/>
      <c r="AM854" s="32"/>
      <c r="AN854" s="32"/>
      <c r="AO854" s="32"/>
      <c r="AP854" s="32"/>
    </row>
    <row r="855" spans="1:42" ht="14.25" customHeight="1"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c r="AL855" s="32"/>
      <c r="AM855" s="32"/>
      <c r="AN855" s="32"/>
      <c r="AO855" s="32"/>
      <c r="AP855" s="32"/>
    </row>
    <row r="856" spans="1:42" ht="14.25" customHeight="1"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c r="AL856" s="32"/>
      <c r="AM856" s="32"/>
      <c r="AN856" s="32"/>
      <c r="AO856" s="32"/>
      <c r="AP856" s="32"/>
    </row>
    <row r="857" spans="1:42" ht="14.25" customHeight="1"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c r="AL857" s="32"/>
      <c r="AM857" s="32"/>
      <c r="AN857" s="32"/>
      <c r="AO857" s="32"/>
      <c r="AP857" s="32"/>
    </row>
    <row r="858" spans="1:42" ht="14.25" customHeight="1"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c r="AL858" s="32"/>
      <c r="AM858" s="32"/>
      <c r="AN858" s="32"/>
      <c r="AO858" s="32"/>
      <c r="AP858" s="32"/>
    </row>
    <row r="859" spans="1:42" ht="14.25" customHeight="1"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c r="AL859" s="32"/>
      <c r="AM859" s="32"/>
      <c r="AN859" s="32"/>
      <c r="AO859" s="32"/>
      <c r="AP859" s="32"/>
    </row>
    <row r="860" spans="1:42" ht="14.25" customHeight="1"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c r="AL860" s="32"/>
      <c r="AM860" s="32"/>
      <c r="AN860" s="32"/>
      <c r="AO860" s="32"/>
      <c r="AP860" s="32"/>
    </row>
    <row r="861" spans="1:42" ht="14.25" customHeight="1"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c r="AL861" s="32"/>
      <c r="AM861" s="32"/>
      <c r="AN861" s="32"/>
      <c r="AO861" s="32"/>
      <c r="AP861" s="32"/>
    </row>
    <row r="862" spans="1:42" ht="14.25" customHeight="1"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c r="AL862" s="32"/>
      <c r="AM862" s="32"/>
      <c r="AN862" s="32"/>
      <c r="AO862" s="32"/>
      <c r="AP862" s="32"/>
    </row>
    <row r="863" spans="1:42" ht="14.25" customHeight="1"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c r="AL863" s="32"/>
      <c r="AM863" s="32"/>
      <c r="AN863" s="32"/>
      <c r="AO863" s="32"/>
      <c r="AP863" s="32"/>
    </row>
    <row r="864" spans="1:42" ht="14.25" customHeight="1"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c r="AL864" s="32"/>
      <c r="AM864" s="32"/>
      <c r="AN864" s="32"/>
      <c r="AO864" s="32"/>
      <c r="AP864" s="32"/>
    </row>
    <row r="865" spans="1:42" ht="14.25" customHeight="1"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c r="AL865" s="32"/>
      <c r="AM865" s="32"/>
      <c r="AN865" s="32"/>
      <c r="AO865" s="32"/>
      <c r="AP865" s="32"/>
    </row>
    <row r="866" spans="1:42" ht="14.25" customHeight="1"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c r="AL866" s="32"/>
      <c r="AM866" s="32"/>
      <c r="AN866" s="32"/>
      <c r="AO866" s="32"/>
      <c r="AP866" s="32"/>
    </row>
    <row r="867" spans="1:42" ht="14.25" customHeight="1"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c r="AL867" s="32"/>
      <c r="AM867" s="32"/>
      <c r="AN867" s="32"/>
      <c r="AO867" s="32"/>
      <c r="AP867" s="32"/>
    </row>
    <row r="868" spans="1:42" ht="14.25" customHeight="1"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c r="AL868" s="32"/>
      <c r="AM868" s="32"/>
      <c r="AN868" s="32"/>
      <c r="AO868" s="32"/>
      <c r="AP868" s="32"/>
    </row>
    <row r="869" spans="1:42" ht="14.25" customHeight="1"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c r="AL869" s="32"/>
      <c r="AM869" s="32"/>
      <c r="AN869" s="32"/>
      <c r="AO869" s="32"/>
      <c r="AP869" s="32"/>
    </row>
    <row r="870" spans="1:42" ht="14.25" customHeight="1"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c r="AL870" s="32"/>
      <c r="AM870" s="32"/>
      <c r="AN870" s="32"/>
      <c r="AO870" s="32"/>
      <c r="AP870" s="32"/>
    </row>
    <row r="871" spans="1:42" ht="14.25" customHeight="1"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c r="AL871" s="32"/>
      <c r="AM871" s="32"/>
      <c r="AN871" s="32"/>
      <c r="AO871" s="32"/>
      <c r="AP871" s="32"/>
    </row>
    <row r="872" spans="1:42" ht="14.25" customHeight="1"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c r="AL872" s="32"/>
      <c r="AM872" s="32"/>
      <c r="AN872" s="32"/>
      <c r="AO872" s="32"/>
      <c r="AP872" s="32"/>
    </row>
    <row r="873" spans="1:42" ht="14.25" customHeight="1"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c r="AL873" s="32"/>
      <c r="AM873" s="32"/>
      <c r="AN873" s="32"/>
      <c r="AO873" s="32"/>
      <c r="AP873" s="32"/>
    </row>
    <row r="874" spans="1:42" ht="14.25" customHeight="1"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c r="AL874" s="32"/>
      <c r="AM874" s="32"/>
      <c r="AN874" s="32"/>
      <c r="AO874" s="32"/>
      <c r="AP874" s="32"/>
    </row>
    <row r="875" spans="1:42" ht="14.25" customHeight="1"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c r="AL875" s="32"/>
      <c r="AM875" s="32"/>
      <c r="AN875" s="32"/>
      <c r="AO875" s="32"/>
      <c r="AP875" s="32"/>
    </row>
    <row r="876" spans="1:42" ht="14.25" customHeight="1"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c r="AL876" s="32"/>
      <c r="AM876" s="32"/>
      <c r="AN876" s="32"/>
      <c r="AO876" s="32"/>
      <c r="AP876" s="32"/>
    </row>
    <row r="877" spans="1:42" ht="14.25" customHeight="1"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c r="AL877" s="32"/>
      <c r="AM877" s="32"/>
      <c r="AN877" s="32"/>
      <c r="AO877" s="32"/>
      <c r="AP877" s="32"/>
    </row>
    <row r="878" spans="1:42" ht="14.25" customHeight="1"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c r="AL878" s="32"/>
      <c r="AM878" s="32"/>
      <c r="AN878" s="32"/>
      <c r="AO878" s="32"/>
      <c r="AP878" s="32"/>
    </row>
    <row r="879" spans="1:42" ht="14.25" customHeight="1"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c r="AL879" s="32"/>
      <c r="AM879" s="32"/>
      <c r="AN879" s="32"/>
      <c r="AO879" s="32"/>
      <c r="AP879" s="32"/>
    </row>
    <row r="880" spans="1:42" ht="14.25" customHeight="1"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c r="AL880" s="32"/>
      <c r="AM880" s="32"/>
      <c r="AN880" s="32"/>
      <c r="AO880" s="32"/>
      <c r="AP880" s="32"/>
    </row>
    <row r="881" spans="1:42" ht="14.25" customHeight="1"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c r="AL881" s="32"/>
      <c r="AM881" s="32"/>
      <c r="AN881" s="32"/>
      <c r="AO881" s="32"/>
      <c r="AP881" s="32"/>
    </row>
    <row r="882" spans="1:42" ht="14.25" customHeight="1"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c r="AL882" s="32"/>
      <c r="AM882" s="32"/>
      <c r="AN882" s="32"/>
      <c r="AO882" s="32"/>
      <c r="AP882" s="32"/>
    </row>
    <row r="883" spans="1:42" ht="14.25" customHeight="1"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c r="AL883" s="32"/>
      <c r="AM883" s="32"/>
      <c r="AN883" s="32"/>
      <c r="AO883" s="32"/>
      <c r="AP883" s="32"/>
    </row>
    <row r="884" spans="1:42" ht="14.25" customHeight="1"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c r="AL884" s="32"/>
      <c r="AM884" s="32"/>
      <c r="AN884" s="32"/>
      <c r="AO884" s="32"/>
      <c r="AP884" s="32"/>
    </row>
    <row r="885" spans="1:42" ht="14.25" customHeight="1"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c r="AL885" s="32"/>
      <c r="AM885" s="32"/>
      <c r="AN885" s="32"/>
      <c r="AO885" s="32"/>
      <c r="AP885" s="32"/>
    </row>
    <row r="886" spans="1:42" ht="14.25" customHeight="1"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c r="AL886" s="32"/>
      <c r="AM886" s="32"/>
      <c r="AN886" s="32"/>
      <c r="AO886" s="32"/>
      <c r="AP886" s="32"/>
    </row>
    <row r="887" spans="1:42" ht="14.25" customHeight="1"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c r="AL887" s="32"/>
      <c r="AM887" s="32"/>
      <c r="AN887" s="32"/>
      <c r="AO887" s="32"/>
      <c r="AP887" s="32"/>
    </row>
    <row r="888" spans="1:42" ht="14.25" customHeight="1"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c r="AL888" s="32"/>
      <c r="AM888" s="32"/>
      <c r="AN888" s="32"/>
      <c r="AO888" s="32"/>
      <c r="AP888" s="32"/>
    </row>
    <row r="889" spans="1:42" ht="14.25" customHeight="1"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c r="AL889" s="32"/>
      <c r="AM889" s="32"/>
      <c r="AN889" s="32"/>
      <c r="AO889" s="32"/>
      <c r="AP889" s="32"/>
    </row>
    <row r="890" spans="1:42" ht="14.25" customHeight="1"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c r="AL890" s="32"/>
      <c r="AM890" s="32"/>
      <c r="AN890" s="32"/>
      <c r="AO890" s="32"/>
      <c r="AP890" s="32"/>
    </row>
    <row r="891" spans="1:42" ht="14.25" customHeight="1"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c r="AL891" s="32"/>
      <c r="AM891" s="32"/>
      <c r="AN891" s="32"/>
      <c r="AO891" s="32"/>
      <c r="AP891" s="32"/>
    </row>
    <row r="892" spans="1:42" ht="14.25" customHeight="1"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c r="AL892" s="32"/>
      <c r="AM892" s="32"/>
      <c r="AN892" s="32"/>
      <c r="AO892" s="32"/>
      <c r="AP892" s="32"/>
    </row>
    <row r="893" spans="1:42" ht="14.25" customHeight="1"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c r="AL893" s="32"/>
      <c r="AM893" s="32"/>
      <c r="AN893" s="32"/>
      <c r="AO893" s="32"/>
      <c r="AP893" s="32"/>
    </row>
    <row r="894" spans="1:42" ht="14.25" customHeight="1"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c r="AL894" s="32"/>
      <c r="AM894" s="32"/>
      <c r="AN894" s="32"/>
      <c r="AO894" s="32"/>
      <c r="AP894" s="32"/>
    </row>
    <row r="895" spans="1:42" ht="14.25" customHeight="1"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c r="AL895" s="32"/>
      <c r="AM895" s="32"/>
      <c r="AN895" s="32"/>
      <c r="AO895" s="32"/>
      <c r="AP895" s="32"/>
    </row>
    <row r="896" spans="1:42" ht="14.25" customHeight="1"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c r="AL896" s="32"/>
      <c r="AM896" s="32"/>
      <c r="AN896" s="32"/>
      <c r="AO896" s="32"/>
      <c r="AP896" s="32"/>
    </row>
    <row r="897" spans="1:42" ht="14.25" customHeight="1"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c r="AL897" s="32"/>
      <c r="AM897" s="32"/>
      <c r="AN897" s="32"/>
      <c r="AO897" s="32"/>
      <c r="AP897" s="32"/>
    </row>
    <row r="898" spans="1:42" ht="14.25" customHeight="1"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c r="AL898" s="32"/>
      <c r="AM898" s="32"/>
      <c r="AN898" s="32"/>
      <c r="AO898" s="32"/>
      <c r="AP898" s="32"/>
    </row>
    <row r="899" spans="1:42" ht="14.25" customHeight="1"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c r="AL899" s="32"/>
      <c r="AM899" s="32"/>
      <c r="AN899" s="32"/>
      <c r="AO899" s="32"/>
      <c r="AP899" s="32"/>
    </row>
    <row r="900" spans="1:42" ht="14.25" customHeight="1"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c r="AL900" s="32"/>
      <c r="AM900" s="32"/>
      <c r="AN900" s="32"/>
      <c r="AO900" s="32"/>
      <c r="AP900" s="32"/>
    </row>
    <row r="901" spans="1:42" ht="14.25" customHeight="1"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c r="AL901" s="32"/>
      <c r="AM901" s="32"/>
      <c r="AN901" s="32"/>
      <c r="AO901" s="32"/>
      <c r="AP901" s="32"/>
    </row>
    <row r="902" spans="1:42" ht="14.25" customHeight="1"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c r="AL902" s="32"/>
      <c r="AM902" s="32"/>
      <c r="AN902" s="32"/>
      <c r="AO902" s="32"/>
      <c r="AP902" s="32"/>
    </row>
    <row r="903" spans="1:42" ht="14.25" customHeight="1"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c r="AL903" s="32"/>
      <c r="AM903" s="32"/>
      <c r="AN903" s="32"/>
      <c r="AO903" s="32"/>
      <c r="AP903" s="32"/>
    </row>
    <row r="904" spans="1:42" ht="14.25" customHeight="1"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c r="AL904" s="32"/>
      <c r="AM904" s="32"/>
      <c r="AN904" s="32"/>
      <c r="AO904" s="32"/>
      <c r="AP904" s="32"/>
    </row>
    <row r="905" spans="1:42" ht="14.25" customHeight="1"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c r="AL905" s="32"/>
      <c r="AM905" s="32"/>
      <c r="AN905" s="32"/>
      <c r="AO905" s="32"/>
      <c r="AP905" s="32"/>
    </row>
    <row r="906" spans="1:42" ht="14.25" customHeight="1"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c r="AL906" s="32"/>
      <c r="AM906" s="32"/>
      <c r="AN906" s="32"/>
      <c r="AO906" s="32"/>
      <c r="AP906" s="32"/>
    </row>
    <row r="907" spans="1:42" ht="14.25" customHeight="1"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c r="AL907" s="32"/>
      <c r="AM907" s="32"/>
      <c r="AN907" s="32"/>
      <c r="AO907" s="32"/>
      <c r="AP907" s="32"/>
    </row>
    <row r="908" spans="1:42" ht="14.25" customHeight="1"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c r="AL908" s="32"/>
      <c r="AM908" s="32"/>
      <c r="AN908" s="32"/>
      <c r="AO908" s="32"/>
      <c r="AP908" s="32"/>
    </row>
    <row r="909" spans="1:42" ht="14.25" customHeight="1"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c r="AL909" s="32"/>
      <c r="AM909" s="32"/>
      <c r="AN909" s="32"/>
      <c r="AO909" s="32"/>
      <c r="AP909" s="32"/>
    </row>
    <row r="910" spans="1:42" ht="14.25" customHeight="1"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c r="AL910" s="32"/>
      <c r="AM910" s="32"/>
      <c r="AN910" s="32"/>
      <c r="AO910" s="32"/>
      <c r="AP910" s="32"/>
    </row>
    <row r="911" spans="1:42" ht="14.25" customHeight="1"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c r="AL911" s="32"/>
      <c r="AM911" s="32"/>
      <c r="AN911" s="32"/>
      <c r="AO911" s="32"/>
      <c r="AP911" s="32"/>
    </row>
    <row r="912" spans="1:42" ht="14.25" customHeight="1"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c r="AL912" s="32"/>
      <c r="AM912" s="32"/>
      <c r="AN912" s="32"/>
      <c r="AO912" s="32"/>
      <c r="AP912" s="32"/>
    </row>
    <row r="913" spans="1:42" ht="14.25" customHeight="1"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c r="AL913" s="32"/>
      <c r="AM913" s="32"/>
      <c r="AN913" s="32"/>
      <c r="AO913" s="32"/>
      <c r="AP913" s="32"/>
    </row>
    <row r="914" spans="1:42" ht="14.25" customHeight="1"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c r="AL914" s="32"/>
      <c r="AM914" s="32"/>
      <c r="AN914" s="32"/>
      <c r="AO914" s="32"/>
      <c r="AP914" s="32"/>
    </row>
    <row r="915" spans="1:42" ht="14.25" customHeight="1"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c r="AL915" s="32"/>
      <c r="AM915" s="32"/>
      <c r="AN915" s="32"/>
      <c r="AO915" s="32"/>
      <c r="AP915" s="32"/>
    </row>
    <row r="916" spans="1:42" ht="14.25" customHeight="1"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c r="AL916" s="32"/>
      <c r="AM916" s="32"/>
      <c r="AN916" s="32"/>
      <c r="AO916" s="32"/>
      <c r="AP916" s="32"/>
    </row>
    <row r="917" spans="1:42" ht="14.25" customHeight="1"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c r="AL917" s="32"/>
      <c r="AM917" s="32"/>
      <c r="AN917" s="32"/>
      <c r="AO917" s="32"/>
      <c r="AP917" s="32"/>
    </row>
    <row r="918" spans="1:42" ht="14.25" customHeight="1"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c r="AL918" s="32"/>
      <c r="AM918" s="32"/>
      <c r="AN918" s="32"/>
      <c r="AO918" s="32"/>
      <c r="AP918" s="32"/>
    </row>
    <row r="919" spans="1:42" ht="14.25" customHeight="1"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c r="AL919" s="32"/>
      <c r="AM919" s="32"/>
      <c r="AN919" s="32"/>
      <c r="AO919" s="32"/>
      <c r="AP919" s="32"/>
    </row>
    <row r="920" spans="1:42" ht="14.25" customHeight="1"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c r="AL920" s="32"/>
      <c r="AM920" s="32"/>
      <c r="AN920" s="32"/>
      <c r="AO920" s="32"/>
      <c r="AP920" s="32"/>
    </row>
    <row r="921" spans="1:42" ht="14.25" customHeight="1"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c r="AL921" s="32"/>
      <c r="AM921" s="32"/>
      <c r="AN921" s="32"/>
      <c r="AO921" s="32"/>
      <c r="AP921" s="32"/>
    </row>
    <row r="922" spans="1:42" ht="14.25" customHeight="1"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c r="AL922" s="32"/>
      <c r="AM922" s="32"/>
      <c r="AN922" s="32"/>
      <c r="AO922" s="32"/>
      <c r="AP922" s="32"/>
    </row>
    <row r="923" spans="1:42" ht="14.25" customHeight="1"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c r="AL923" s="32"/>
      <c r="AM923" s="32"/>
      <c r="AN923" s="32"/>
      <c r="AO923" s="32"/>
      <c r="AP923" s="32"/>
    </row>
    <row r="924" spans="1:42" ht="14.25" customHeight="1"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c r="AL924" s="32"/>
      <c r="AM924" s="32"/>
      <c r="AN924" s="32"/>
      <c r="AO924" s="32"/>
      <c r="AP924" s="32"/>
    </row>
    <row r="925" spans="1:42" ht="14.25" customHeight="1"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c r="AL925" s="32"/>
      <c r="AM925" s="32"/>
      <c r="AN925" s="32"/>
      <c r="AO925" s="32"/>
      <c r="AP925" s="32"/>
    </row>
    <row r="926" spans="1:42" ht="14.25" customHeight="1"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c r="AL926" s="32"/>
      <c r="AM926" s="32"/>
      <c r="AN926" s="32"/>
      <c r="AO926" s="32"/>
      <c r="AP926" s="32"/>
    </row>
    <row r="927" spans="1:42" ht="14.25" customHeight="1"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c r="AL927" s="32"/>
      <c r="AM927" s="32"/>
      <c r="AN927" s="32"/>
      <c r="AO927" s="32"/>
      <c r="AP927" s="32"/>
    </row>
    <row r="928" spans="1:42" ht="14.25" customHeight="1"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c r="AL928" s="32"/>
      <c r="AM928" s="32"/>
      <c r="AN928" s="32"/>
      <c r="AO928" s="32"/>
      <c r="AP928" s="32"/>
    </row>
    <row r="929" spans="1:42" ht="14.25" customHeight="1"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c r="AL929" s="32"/>
      <c r="AM929" s="32"/>
      <c r="AN929" s="32"/>
      <c r="AO929" s="32"/>
      <c r="AP929" s="32"/>
    </row>
    <row r="930" spans="1:42" ht="14.25" customHeight="1"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c r="AL930" s="32"/>
      <c r="AM930" s="32"/>
      <c r="AN930" s="32"/>
      <c r="AO930" s="32"/>
      <c r="AP930" s="32"/>
    </row>
    <row r="931" spans="1:42" ht="14.25" customHeight="1"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c r="AL931" s="32"/>
      <c r="AM931" s="32"/>
      <c r="AN931" s="32"/>
      <c r="AO931" s="32"/>
      <c r="AP931" s="32"/>
    </row>
    <row r="932" spans="1:42" ht="14.25" customHeight="1"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c r="AL932" s="32"/>
      <c r="AM932" s="32"/>
      <c r="AN932" s="32"/>
      <c r="AO932" s="32"/>
      <c r="AP932" s="32"/>
    </row>
    <row r="933" spans="1:42" ht="14.25" customHeight="1"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c r="AL933" s="32"/>
      <c r="AM933" s="32"/>
      <c r="AN933" s="32"/>
      <c r="AO933" s="32"/>
      <c r="AP933" s="32"/>
    </row>
    <row r="934" spans="1:42" ht="14.25" customHeight="1"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c r="AL934" s="32"/>
      <c r="AM934" s="32"/>
      <c r="AN934" s="32"/>
      <c r="AO934" s="32"/>
      <c r="AP934" s="32"/>
    </row>
    <row r="935" spans="1:42" ht="14.25" customHeight="1"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c r="AL935" s="32"/>
      <c r="AM935" s="32"/>
      <c r="AN935" s="32"/>
      <c r="AO935" s="32"/>
      <c r="AP935" s="32"/>
    </row>
    <row r="936" spans="1:42" ht="14.25" customHeight="1"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c r="AL936" s="32"/>
      <c r="AM936" s="32"/>
      <c r="AN936" s="32"/>
      <c r="AO936" s="32"/>
      <c r="AP936" s="32"/>
    </row>
    <row r="937" spans="1:42" ht="14.25" customHeight="1"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c r="AL937" s="32"/>
      <c r="AM937" s="32"/>
      <c r="AN937" s="32"/>
      <c r="AO937" s="32"/>
      <c r="AP937" s="32"/>
    </row>
    <row r="938" spans="1:42" ht="14.25" customHeight="1"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c r="AL938" s="32"/>
      <c r="AM938" s="32"/>
      <c r="AN938" s="32"/>
      <c r="AO938" s="32"/>
      <c r="AP938" s="32"/>
    </row>
    <row r="939" spans="1:42" ht="14.25" customHeight="1"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c r="AL939" s="32"/>
      <c r="AM939" s="32"/>
      <c r="AN939" s="32"/>
      <c r="AO939" s="32"/>
      <c r="AP939" s="32"/>
    </row>
    <row r="940" spans="1:42" ht="14.25" customHeight="1"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c r="AL940" s="32"/>
      <c r="AM940" s="32"/>
      <c r="AN940" s="32"/>
      <c r="AO940" s="32"/>
      <c r="AP940" s="32"/>
    </row>
    <row r="941" spans="1:42" ht="14.25" customHeight="1"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c r="AL941" s="32"/>
      <c r="AM941" s="32"/>
      <c r="AN941" s="32"/>
      <c r="AO941" s="32"/>
      <c r="AP941" s="32"/>
    </row>
    <row r="942" spans="1:42" ht="14.25" customHeight="1"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c r="AL942" s="32"/>
      <c r="AM942" s="32"/>
      <c r="AN942" s="32"/>
      <c r="AO942" s="32"/>
      <c r="AP942" s="32"/>
    </row>
    <row r="943" spans="1:42" ht="14.25" customHeight="1"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c r="AL943" s="32"/>
      <c r="AM943" s="32"/>
      <c r="AN943" s="32"/>
      <c r="AO943" s="32"/>
      <c r="AP943" s="32"/>
    </row>
    <row r="944" spans="1:42" ht="14.25" customHeight="1"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c r="AL944" s="32"/>
      <c r="AM944" s="32"/>
      <c r="AN944" s="32"/>
      <c r="AO944" s="32"/>
      <c r="AP944" s="32"/>
    </row>
    <row r="945" spans="1:42" ht="14.25" customHeight="1"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c r="AL945" s="32"/>
      <c r="AM945" s="32"/>
      <c r="AN945" s="32"/>
      <c r="AO945" s="32"/>
      <c r="AP945" s="32"/>
    </row>
    <row r="946" spans="1:42" ht="14.25" customHeight="1"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c r="AL946" s="32"/>
      <c r="AM946" s="32"/>
      <c r="AN946" s="32"/>
      <c r="AO946" s="32"/>
      <c r="AP946" s="32"/>
    </row>
    <row r="947" spans="1:42" ht="14.25" customHeight="1"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c r="AL947" s="32"/>
      <c r="AM947" s="32"/>
      <c r="AN947" s="32"/>
      <c r="AO947" s="32"/>
      <c r="AP947" s="32"/>
    </row>
    <row r="948" spans="1:42" ht="14.25" customHeight="1"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c r="AL948" s="32"/>
      <c r="AM948" s="32"/>
      <c r="AN948" s="32"/>
      <c r="AO948" s="32"/>
      <c r="AP948" s="32"/>
    </row>
    <row r="949" spans="1:42" ht="14.25" customHeight="1"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c r="AL949" s="32"/>
      <c r="AM949" s="32"/>
      <c r="AN949" s="32"/>
      <c r="AO949" s="32"/>
      <c r="AP949" s="32"/>
    </row>
    <row r="950" spans="1:42" ht="14.25" customHeight="1"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c r="AL950" s="32"/>
      <c r="AM950" s="32"/>
      <c r="AN950" s="32"/>
      <c r="AO950" s="32"/>
      <c r="AP950" s="32"/>
    </row>
    <row r="951" spans="1:42" ht="14.25" customHeight="1"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c r="AL951" s="32"/>
      <c r="AM951" s="32"/>
      <c r="AN951" s="32"/>
      <c r="AO951" s="32"/>
      <c r="AP951" s="32"/>
    </row>
    <row r="952" spans="1:42" ht="14.25" customHeight="1"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c r="AL952" s="32"/>
      <c r="AM952" s="32"/>
      <c r="AN952" s="32"/>
      <c r="AO952" s="32"/>
      <c r="AP952" s="32"/>
    </row>
    <row r="953" spans="1:42" ht="14.25" customHeight="1"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c r="AL953" s="32"/>
      <c r="AM953" s="32"/>
      <c r="AN953" s="32"/>
      <c r="AO953" s="32"/>
      <c r="AP953" s="32"/>
    </row>
    <row r="954" spans="1:42" ht="14.25" customHeight="1"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c r="AL954" s="32"/>
      <c r="AM954" s="32"/>
      <c r="AN954" s="32"/>
      <c r="AO954" s="32"/>
      <c r="AP954" s="32"/>
    </row>
    <row r="955" spans="1:42" ht="14.25" customHeight="1"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c r="AL955" s="32"/>
      <c r="AM955" s="32"/>
      <c r="AN955" s="32"/>
      <c r="AO955" s="32"/>
      <c r="AP955" s="32"/>
    </row>
    <row r="956" spans="1:42" ht="14.25" customHeight="1"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c r="AL956" s="32"/>
      <c r="AM956" s="32"/>
      <c r="AN956" s="32"/>
      <c r="AO956" s="32"/>
      <c r="AP956" s="32"/>
    </row>
    <row r="957" spans="1:42" ht="14.25" customHeight="1"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c r="AL957" s="32"/>
      <c r="AM957" s="32"/>
      <c r="AN957" s="32"/>
      <c r="AO957" s="32"/>
      <c r="AP957" s="32"/>
    </row>
    <row r="958" spans="1:42" ht="14.25" customHeight="1"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c r="AL958" s="32"/>
      <c r="AM958" s="32"/>
      <c r="AN958" s="32"/>
      <c r="AO958" s="32"/>
      <c r="AP958" s="32"/>
    </row>
    <row r="959" spans="1:42" ht="14.25" customHeight="1"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c r="AL959" s="32"/>
      <c r="AM959" s="32"/>
      <c r="AN959" s="32"/>
      <c r="AO959" s="32"/>
      <c r="AP959" s="32"/>
    </row>
    <row r="960" spans="1:42" ht="14.25" customHeight="1"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c r="AL960" s="32"/>
      <c r="AM960" s="32"/>
      <c r="AN960" s="32"/>
      <c r="AO960" s="32"/>
      <c r="AP960" s="32"/>
    </row>
    <row r="961" spans="1:42" ht="14.25" customHeight="1"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c r="AL961" s="32"/>
      <c r="AM961" s="32"/>
      <c r="AN961" s="32"/>
      <c r="AO961" s="32"/>
      <c r="AP961" s="32"/>
    </row>
    <row r="962" spans="1:42" ht="14.25" customHeight="1"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c r="AL962" s="32"/>
      <c r="AM962" s="32"/>
      <c r="AN962" s="32"/>
      <c r="AO962" s="32"/>
      <c r="AP962" s="32"/>
    </row>
    <row r="963" spans="1:42" ht="14.25" customHeight="1"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c r="AL963" s="32"/>
      <c r="AM963" s="32"/>
      <c r="AN963" s="32"/>
      <c r="AO963" s="32"/>
      <c r="AP963" s="32"/>
    </row>
    <row r="964" spans="1:42" ht="14.25" customHeight="1"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c r="AL964" s="32"/>
      <c r="AM964" s="32"/>
      <c r="AN964" s="32"/>
      <c r="AO964" s="32"/>
      <c r="AP964" s="32"/>
    </row>
    <row r="965" spans="1:42" ht="14.25" customHeight="1"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c r="AL965" s="32"/>
      <c r="AM965" s="32"/>
      <c r="AN965" s="32"/>
      <c r="AO965" s="32"/>
      <c r="AP965" s="32"/>
    </row>
    <row r="966" spans="1:42" ht="14.25" customHeight="1"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c r="AL966" s="32"/>
      <c r="AM966" s="32"/>
      <c r="AN966" s="32"/>
      <c r="AO966" s="32"/>
      <c r="AP966" s="32"/>
    </row>
    <row r="967" spans="1:42" ht="14.25" customHeight="1"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c r="AL967" s="32"/>
      <c r="AM967" s="32"/>
      <c r="AN967" s="32"/>
      <c r="AO967" s="32"/>
      <c r="AP967" s="32"/>
    </row>
    <row r="968" spans="1:42" ht="14.25" customHeight="1"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c r="AL968" s="32"/>
      <c r="AM968" s="32"/>
      <c r="AN968" s="32"/>
      <c r="AO968" s="32"/>
      <c r="AP968" s="32"/>
    </row>
    <row r="969" spans="1:42" ht="14.25" customHeight="1"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c r="AL969" s="32"/>
      <c r="AM969" s="32"/>
      <c r="AN969" s="32"/>
      <c r="AO969" s="32"/>
      <c r="AP969" s="32"/>
    </row>
    <row r="970" spans="1:42" ht="14.25" customHeight="1"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c r="AL970" s="32"/>
      <c r="AM970" s="32"/>
      <c r="AN970" s="32"/>
      <c r="AO970" s="32"/>
      <c r="AP970" s="32"/>
    </row>
    <row r="971" spans="1:42" ht="14.25" customHeight="1"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c r="AL971" s="32"/>
      <c r="AM971" s="32"/>
      <c r="AN971" s="32"/>
      <c r="AO971" s="32"/>
      <c r="AP971" s="32"/>
    </row>
    <row r="972" spans="1:42" ht="14.25" customHeight="1"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c r="AL972" s="32"/>
      <c r="AM972" s="32"/>
      <c r="AN972" s="32"/>
      <c r="AO972" s="32"/>
      <c r="AP972" s="32"/>
    </row>
    <row r="973" spans="1:42" ht="14.25" customHeight="1"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c r="AL973" s="32"/>
      <c r="AM973" s="32"/>
      <c r="AN973" s="32"/>
      <c r="AO973" s="32"/>
      <c r="AP973" s="32"/>
    </row>
    <row r="974" spans="1:42" ht="14.25" customHeight="1"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c r="AL974" s="32"/>
      <c r="AM974" s="32"/>
      <c r="AN974" s="32"/>
      <c r="AO974" s="32"/>
      <c r="AP974" s="32"/>
    </row>
    <row r="975" spans="1:42" ht="14.25" customHeight="1"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c r="AL975" s="32"/>
      <c r="AM975" s="32"/>
      <c r="AN975" s="32"/>
      <c r="AO975" s="32"/>
      <c r="AP975" s="32"/>
    </row>
    <row r="976" spans="1:42" ht="14.25" customHeight="1"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c r="AL976" s="32"/>
      <c r="AM976" s="32"/>
      <c r="AN976" s="32"/>
      <c r="AO976" s="32"/>
      <c r="AP976" s="32"/>
    </row>
    <row r="977" spans="1:42" ht="14.25" customHeight="1"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c r="AL977" s="32"/>
      <c r="AM977" s="32"/>
      <c r="AN977" s="32"/>
      <c r="AO977" s="32"/>
      <c r="AP977" s="32"/>
    </row>
    <row r="978" spans="1:42" ht="14.25" customHeight="1"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c r="AL978" s="32"/>
      <c r="AM978" s="32"/>
      <c r="AN978" s="32"/>
      <c r="AO978" s="32"/>
      <c r="AP978" s="32"/>
    </row>
    <row r="979" spans="1:42" ht="14.25" customHeight="1"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c r="AL979" s="32"/>
      <c r="AM979" s="32"/>
      <c r="AN979" s="32"/>
      <c r="AO979" s="32"/>
      <c r="AP979" s="32"/>
    </row>
    <row r="980" spans="1:42" ht="14.25" customHeight="1"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c r="AL980" s="32"/>
      <c r="AM980" s="32"/>
      <c r="AN980" s="32"/>
      <c r="AO980" s="32"/>
      <c r="AP980" s="32"/>
    </row>
    <row r="981" spans="1:42" ht="14.25" customHeight="1"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c r="AL981" s="32"/>
      <c r="AM981" s="32"/>
      <c r="AN981" s="32"/>
      <c r="AO981" s="32"/>
      <c r="AP981" s="32"/>
    </row>
    <row r="982" spans="1:42" ht="14.25" customHeight="1"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c r="AL982" s="32"/>
      <c r="AM982" s="32"/>
      <c r="AN982" s="32"/>
      <c r="AO982" s="32"/>
      <c r="AP982" s="32"/>
    </row>
    <row r="983" spans="1:42" ht="14.25" customHeight="1"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c r="AL983" s="32"/>
      <c r="AM983" s="32"/>
      <c r="AN983" s="32"/>
      <c r="AO983" s="32"/>
      <c r="AP983" s="32"/>
    </row>
    <row r="984" spans="1:42" ht="14.25" customHeight="1"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c r="AL984" s="32"/>
      <c r="AM984" s="32"/>
      <c r="AN984" s="32"/>
      <c r="AO984" s="32"/>
      <c r="AP984" s="32"/>
    </row>
    <row r="985" spans="1:42" ht="14.25" customHeight="1"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c r="AL985" s="32"/>
      <c r="AM985" s="32"/>
      <c r="AN985" s="32"/>
      <c r="AO985" s="32"/>
      <c r="AP985" s="32"/>
    </row>
    <row r="986" spans="1:42" ht="14.25" customHeight="1"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c r="AL986" s="32"/>
      <c r="AM986" s="32"/>
      <c r="AN986" s="32"/>
      <c r="AO986" s="32"/>
      <c r="AP986" s="32"/>
    </row>
    <row r="987" spans="1:42" ht="14.25" customHeight="1"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c r="AL987" s="32"/>
      <c r="AM987" s="32"/>
      <c r="AN987" s="32"/>
      <c r="AO987" s="32"/>
      <c r="AP987" s="32"/>
    </row>
    <row r="988" spans="1:42" ht="14.25" customHeight="1"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c r="AL988" s="32"/>
      <c r="AM988" s="32"/>
      <c r="AN988" s="32"/>
      <c r="AO988" s="32"/>
      <c r="AP988" s="32"/>
    </row>
    <row r="989" spans="1:42" ht="14.25" customHeight="1"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c r="AL989" s="32"/>
      <c r="AM989" s="32"/>
      <c r="AN989" s="32"/>
      <c r="AO989" s="32"/>
      <c r="AP989" s="32"/>
    </row>
    <row r="990" spans="1:42" ht="14.25" customHeight="1"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c r="AL990" s="32"/>
      <c r="AM990" s="32"/>
      <c r="AN990" s="32"/>
      <c r="AO990" s="32"/>
      <c r="AP990" s="32"/>
    </row>
  </sheetData>
  <mergeCells count="1">
    <mergeCell ref="B10:Y10"/>
  </mergeCells>
  <conditionalFormatting sqref="G13:I13 G14:G15 I14:I15 H15">
    <cfRule type="expression" dxfId="10" priority="23">
      <formula>$C$12="Please select a program"</formula>
    </cfRule>
  </conditionalFormatting>
  <conditionalFormatting sqref="M12:M29">
    <cfRule type="cellIs" dxfId="9" priority="18" operator="equal">
      <formula>"Very Low"</formula>
    </cfRule>
    <cfRule type="cellIs" dxfId="8" priority="19" operator="equal">
      <formula>"Low"</formula>
    </cfRule>
    <cfRule type="cellIs" dxfId="7" priority="20" operator="equal">
      <formula>"Medium"</formula>
    </cfRule>
    <cfRule type="cellIs" dxfId="6" priority="21" operator="equal">
      <formula>"High"</formula>
    </cfRule>
    <cfRule type="cellIs" dxfId="5" priority="22" operator="equal">
      <formula>"Critical"</formula>
    </cfRule>
  </conditionalFormatting>
  <conditionalFormatting sqref="V12:V29">
    <cfRule type="cellIs" dxfId="4" priority="13" operator="equal">
      <formula>"Very Low"</formula>
    </cfRule>
    <cfRule type="cellIs" dxfId="3" priority="14" operator="equal">
      <formula>"Low"</formula>
    </cfRule>
    <cfRule type="cellIs" dxfId="2" priority="15" operator="equal">
      <formula>"Medium"</formula>
    </cfRule>
    <cfRule type="cellIs" dxfId="1" priority="16" operator="equal">
      <formula>"High"</formula>
    </cfRule>
    <cfRule type="cellIs" dxfId="0" priority="17" operator="equal">
      <formula>"Critical"</formula>
    </cfRule>
  </conditionalFormatting>
  <dataValidations count="3">
    <dataValidation type="list" showInputMessage="1" promptTitle="Risk Area" prompt="Select the scope of risk" sqref="C12:C29" xr:uid="{00000000-0002-0000-0400-000000000000}">
      <formula1>"IT assets,Business process,Personnel"</formula1>
    </dataValidation>
    <dataValidation type="list" showInputMessage="1" promptTitle="Treatment Type" prompt="Select treatment action type" sqref="O12:O29" xr:uid="{00000000-0002-0000-0400-000001000000}">
      <formula1>"Risk Mitigation,Risk Avoidance,Risk Transfer,Risk Acceptance"</formula1>
    </dataValidation>
    <dataValidation type="list" showInputMessage="1" promptTitle="Risk Rating" prompt="Select risk rating" sqref="N12:N29" xr:uid="{00000000-0002-0000-0400-000002000000}">
      <formula1>"Critical,High,Medium,Low,Very Low"</formula1>
    </dataValidation>
  </dataValidations>
  <pageMargins left="0.7" right="0.7" top="0.75" bottom="0.75" header="0" footer="0"/>
  <pageSetup orientation="portrait"/>
  <headerFooter>
    <oddHeader>&amp;L&amp;"Arial,Regular"&amp;10 &amp;K000000RESTRICTED  - Third Party</oddHeader>
    <oddFooter>&amp;R&amp;"Calibri"&amp;11&amp;K000000#FF8C00مقيد – داخلي_x000D_&amp;1#&amp;"Courier New"&amp;10 &amp;K0078D7مقيد – عام</oddFooter>
    <evenHeader>&amp;L&amp;"Arial,Regular"&amp;10 &amp;K000000RESTRICTED  - Third Party</evenHeader>
    <firstHeader>&amp;L&amp;"Arial,Regular"&amp;10 &amp;K000000RESTRICTED  - Third Party</firstHeader>
  </headerFooter>
  <extLst>
    <ext xmlns:x14="http://schemas.microsoft.com/office/spreadsheetml/2009/9/main" uri="{CCE6A557-97BC-4b89-ADB6-D9C93CAAB3DF}">
      <x14:dataValidations xmlns:xm="http://schemas.microsoft.com/office/excel/2006/main" count="1">
        <x14:dataValidation type="list" showInputMessage="1" promptTitle="Threat" prompt="Select threat type" xr:uid="{00000000-0002-0000-0400-000003000000}">
          <x14:formula1>
            <xm:f>'Data Validation'!$F$2:$F$23</xm:f>
          </x14:formula1>
          <xm:sqref>H12:H29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pageSetUpPr autoPageBreaks="0"/>
  </sheetPr>
  <dimension ref="A1:Z998"/>
  <sheetViews>
    <sheetView showGridLines="0" workbookViewId="0">
      <selection activeCell="D8" sqref="D8"/>
    </sheetView>
  </sheetViews>
  <sheetFormatPr defaultColWidth="14.44140625" defaultRowHeight="15" customHeight="1" x14ac:dyDescent="0.3"/>
  <cols>
    <col min="1" max="1" width="14.44140625" style="29" customWidth="1"/>
    <col min="2" max="3" width="4.5546875" style="29" bestFit="1" customWidth="1"/>
    <col min="4" max="8" width="14.5546875" style="29" customWidth="1"/>
    <col min="9" max="9" width="14.44140625" style="29" customWidth="1"/>
    <col min="10" max="11" width="4.5546875" style="29" customWidth="1"/>
    <col min="12" max="16" width="14.5546875" style="29" customWidth="1"/>
    <col min="17" max="17" width="14.44140625" style="29" customWidth="1"/>
    <col min="18" max="16384" width="14.44140625" style="29"/>
  </cols>
  <sheetData>
    <row r="1" spans="1:17" ht="15" customHeight="1" x14ac:dyDescent="0.3">
      <c r="A1" s="59"/>
      <c r="B1" s="59"/>
      <c r="C1" s="59"/>
      <c r="D1" s="59"/>
      <c r="E1" s="59"/>
      <c r="F1" s="59"/>
      <c r="G1" s="59"/>
      <c r="H1" s="59"/>
      <c r="I1" s="59"/>
      <c r="J1" s="59"/>
      <c r="K1" s="59"/>
      <c r="L1" s="59"/>
      <c r="M1" s="59"/>
      <c r="N1" s="59"/>
      <c r="O1" s="59"/>
      <c r="P1" s="59"/>
      <c r="Q1" s="59"/>
    </row>
    <row r="2" spans="1:17" ht="15" customHeight="1" x14ac:dyDescent="0.3">
      <c r="A2" s="59"/>
      <c r="B2" s="59"/>
      <c r="C2" s="59"/>
      <c r="D2" s="59"/>
      <c r="E2" s="59"/>
      <c r="F2" s="59"/>
      <c r="G2" s="59"/>
      <c r="H2" s="59"/>
      <c r="I2" s="59"/>
      <c r="J2" s="59"/>
      <c r="K2" s="59"/>
      <c r="L2" s="59"/>
      <c r="M2" s="59"/>
      <c r="N2" s="59"/>
      <c r="O2" s="59"/>
      <c r="P2" s="59"/>
      <c r="Q2" s="59"/>
    </row>
    <row r="3" spans="1:17" ht="15" customHeight="1" x14ac:dyDescent="0.3">
      <c r="A3" s="59"/>
      <c r="B3" s="59"/>
      <c r="C3" s="59"/>
      <c r="D3" s="59"/>
      <c r="E3" s="59"/>
      <c r="F3" s="59"/>
      <c r="G3" s="59"/>
      <c r="H3" s="59"/>
      <c r="I3" s="59"/>
      <c r="J3" s="59"/>
      <c r="K3" s="59"/>
      <c r="L3" s="59"/>
      <c r="M3" s="59"/>
      <c r="N3" s="59"/>
      <c r="O3" s="59"/>
      <c r="P3" s="59"/>
      <c r="Q3" s="59"/>
    </row>
    <row r="4" spans="1:17" ht="15" customHeight="1" x14ac:dyDescent="0.3">
      <c r="A4" s="59"/>
      <c r="B4" s="59"/>
      <c r="C4" s="59"/>
      <c r="D4" s="59"/>
      <c r="E4" s="59"/>
      <c r="F4" s="59"/>
      <c r="G4" s="59"/>
      <c r="H4" s="59"/>
      <c r="I4" s="59"/>
      <c r="J4" s="59"/>
      <c r="K4" s="59"/>
      <c r="L4" s="59"/>
      <c r="M4" s="59"/>
      <c r="N4" s="59"/>
      <c r="O4" s="59"/>
      <c r="P4" s="59"/>
      <c r="Q4" s="59"/>
    </row>
    <row r="5" spans="1:17" ht="15" customHeight="1" x14ac:dyDescent="0.3">
      <c r="A5" s="59"/>
      <c r="B5" s="59"/>
      <c r="C5" s="59"/>
      <c r="D5" s="59"/>
      <c r="E5" s="59"/>
      <c r="F5" s="59"/>
      <c r="G5" s="59"/>
      <c r="H5" s="59"/>
      <c r="I5" s="59"/>
      <c r="J5" s="59"/>
      <c r="K5" s="59"/>
      <c r="L5" s="59"/>
      <c r="M5" s="59"/>
      <c r="N5" s="59"/>
      <c r="O5" s="59"/>
      <c r="P5" s="59"/>
      <c r="Q5" s="59"/>
    </row>
    <row r="6" spans="1:17" ht="15" customHeight="1" x14ac:dyDescent="0.3">
      <c r="A6" s="59"/>
      <c r="B6" s="59"/>
      <c r="C6" s="59"/>
      <c r="D6" s="59"/>
      <c r="E6" s="59"/>
      <c r="F6" s="59"/>
      <c r="G6" s="59"/>
      <c r="H6" s="59"/>
      <c r="I6" s="59"/>
      <c r="J6" s="59"/>
      <c r="K6" s="59"/>
      <c r="L6" s="59"/>
      <c r="M6" s="59"/>
      <c r="N6" s="59"/>
      <c r="O6" s="59"/>
      <c r="P6" s="59"/>
      <c r="Q6" s="59"/>
    </row>
    <row r="7" spans="1:17" ht="15" customHeight="1" x14ac:dyDescent="0.3">
      <c r="A7" s="59"/>
      <c r="B7" s="59"/>
      <c r="C7" s="59"/>
      <c r="D7" s="59"/>
      <c r="E7" s="59"/>
      <c r="F7" s="59"/>
      <c r="G7" s="59"/>
      <c r="H7" s="59"/>
      <c r="I7" s="59"/>
      <c r="J7" s="59"/>
      <c r="K7" s="59"/>
      <c r="L7" s="59"/>
      <c r="M7" s="59"/>
      <c r="N7" s="59"/>
      <c r="O7" s="59"/>
      <c r="P7" s="59"/>
      <c r="Q7" s="59"/>
    </row>
    <row r="8" spans="1:17" ht="15" customHeight="1" x14ac:dyDescent="0.3">
      <c r="A8" s="59"/>
      <c r="B8" s="59"/>
      <c r="C8" s="59"/>
      <c r="D8" s="64" t="str">
        <f>'Cover Page'!F24</f>
        <v>Confidential</v>
      </c>
      <c r="E8" s="59"/>
      <c r="F8" s="59"/>
      <c r="G8" s="59"/>
      <c r="H8" s="59"/>
      <c r="I8" s="59"/>
      <c r="J8" s="59"/>
      <c r="K8" s="59"/>
      <c r="L8" s="59"/>
      <c r="M8" s="59"/>
      <c r="N8" s="59"/>
      <c r="O8" s="59"/>
      <c r="P8" s="59"/>
      <c r="Q8" s="59"/>
    </row>
    <row r="9" spans="1:17" ht="20.399999999999999" customHeight="1" x14ac:dyDescent="0.35">
      <c r="A9" s="60"/>
      <c r="B9" s="109" t="s">
        <v>125</v>
      </c>
      <c r="C9" s="93"/>
      <c r="D9" s="93"/>
      <c r="E9" s="93"/>
      <c r="F9" s="93"/>
      <c r="G9" s="93"/>
      <c r="H9" s="93"/>
      <c r="I9" s="59"/>
      <c r="J9" s="109" t="s">
        <v>126</v>
      </c>
      <c r="K9" s="93"/>
      <c r="L9" s="93"/>
      <c r="M9" s="93"/>
      <c r="N9" s="93"/>
      <c r="O9" s="93"/>
      <c r="P9" s="93"/>
      <c r="Q9" s="61"/>
    </row>
    <row r="10" spans="1:17" ht="55.35" customHeight="1" x14ac:dyDescent="0.3">
      <c r="A10" s="60"/>
      <c r="B10" s="108" t="s">
        <v>127</v>
      </c>
      <c r="C10" s="80" t="s">
        <v>31</v>
      </c>
      <c r="D10" s="48">
        <f>COUNTIFS('Risk register'!$K:$K,1,'Risk register'!$L:$L,5)</f>
        <v>0</v>
      </c>
      <c r="E10" s="49">
        <f>COUNTIFS('Risk register'!$K:$K,2,'Risk register'!$L:$L,5)</f>
        <v>0</v>
      </c>
      <c r="F10" s="50">
        <f>COUNTIFS('Risk register'!$K:$K,3,'Risk register'!$L:$L,5)</f>
        <v>1</v>
      </c>
      <c r="G10" s="51">
        <f>COUNTIFS('Risk register'!$K:$K,4,'Risk register'!$L:$L,5)</f>
        <v>0</v>
      </c>
      <c r="H10" s="51">
        <f>COUNTIFS('Risk register'!$K:$K,5,'Risk register'!$L:$L,5)</f>
        <v>4</v>
      </c>
      <c r="I10" s="59"/>
      <c r="J10" s="108" t="s">
        <v>127</v>
      </c>
      <c r="K10" s="80" t="s">
        <v>31</v>
      </c>
      <c r="L10" s="48">
        <f>COUNTIFS('Risk register'!$T:$T,1,'Risk register'!$U:$U,5)</f>
        <v>0</v>
      </c>
      <c r="M10" s="49">
        <f>COUNTIFS('Risk register'!$T:$T,2,'Risk register'!$U:$U,5)</f>
        <v>3</v>
      </c>
      <c r="N10" s="50">
        <f>COUNTIFS('Risk register'!$T:$T,3,'Risk register'!$U:$U,5)</f>
        <v>0</v>
      </c>
      <c r="O10" s="51">
        <f>COUNTIFS('Risk register'!$T:$T,4,'Risk register'!$U:$U,5)</f>
        <v>0</v>
      </c>
      <c r="P10" s="51">
        <f>COUNTIFS('Risk register'!$T:$T,5,'Risk register'!$U:$U,5)</f>
        <v>0</v>
      </c>
      <c r="Q10" s="61"/>
    </row>
    <row r="11" spans="1:17" ht="55.35" customHeight="1" x14ac:dyDescent="0.3">
      <c r="A11" s="60"/>
      <c r="B11" s="93"/>
      <c r="C11" s="80" t="s">
        <v>61</v>
      </c>
      <c r="D11" s="48">
        <f>COUNTIFS('Risk register'!$K:$K,1,'Risk register'!$L:$L,4)</f>
        <v>0</v>
      </c>
      <c r="E11" s="49">
        <f>COUNTIFS('Risk register'!$K:$K,2,'Risk register'!$L:$L,4)</f>
        <v>0</v>
      </c>
      <c r="F11" s="50">
        <f>COUNTIFS('Risk register'!$K:$K,3,'Risk register'!$L:$L,4)</f>
        <v>0</v>
      </c>
      <c r="G11" s="50">
        <f>COUNTIFS('Risk register'!$K:$K,4,'Risk register'!$L:$L,4)</f>
        <v>1</v>
      </c>
      <c r="H11" s="51">
        <f>COUNTIFS('Risk register'!$K:$K,5,'Risk register'!$L:$L,4)</f>
        <v>1</v>
      </c>
      <c r="I11" s="59"/>
      <c r="J11" s="93"/>
      <c r="K11" s="80" t="s">
        <v>61</v>
      </c>
      <c r="L11" s="48">
        <f>COUNTIFS('Risk register'!$T:$T,1,'Risk register'!$U:$U,4)</f>
        <v>0</v>
      </c>
      <c r="M11" s="49">
        <f>COUNTIFS('Risk register'!$T:$T,2,'Risk register'!$U:$U,4)</f>
        <v>0</v>
      </c>
      <c r="N11" s="50">
        <f>COUNTIFS('Risk register'!$T:$T,3,'Risk register'!$U:$U,4)</f>
        <v>0</v>
      </c>
      <c r="O11" s="50">
        <f>COUNTIFS('Risk register'!$T:$T,4,'Risk register'!$U:$U,4)</f>
        <v>1</v>
      </c>
      <c r="P11" s="51">
        <f>COUNTIFS('Risk register'!$T:$T,5,'Risk register'!$U:$U,4)</f>
        <v>0</v>
      </c>
      <c r="Q11" s="61"/>
    </row>
    <row r="12" spans="1:17" ht="55.35" customHeight="1" x14ac:dyDescent="0.3">
      <c r="A12" s="60"/>
      <c r="B12" s="93"/>
      <c r="C12" s="80" t="s">
        <v>65</v>
      </c>
      <c r="D12" s="52">
        <f>COUNTIFS('Risk register'!$K:$K,1,'Risk register'!$L:$L,3)</f>
        <v>0</v>
      </c>
      <c r="E12" s="48">
        <f>COUNTIFS('Risk register'!$K:$K,2,'Risk register'!$L:$L,3)</f>
        <v>0</v>
      </c>
      <c r="F12" s="49">
        <f>COUNTIFS('Risk register'!$K:$K,3,'Risk register'!$L:$L,3)</f>
        <v>0</v>
      </c>
      <c r="G12" s="50">
        <f>COUNTIFS('Risk register'!$K:$K,4,'Risk register'!$L:$L,3)</f>
        <v>1</v>
      </c>
      <c r="H12" s="50">
        <f>COUNTIFS('Risk register'!$K:$K,5,'Risk register'!$L:$L,3)</f>
        <v>0</v>
      </c>
      <c r="I12" s="59"/>
      <c r="J12" s="93"/>
      <c r="K12" s="80" t="s">
        <v>65</v>
      </c>
      <c r="L12" s="52">
        <f>COUNTIFS('Risk register'!$T:$T,1,'Risk register'!$U:$U,3)</f>
        <v>0</v>
      </c>
      <c r="M12" s="48">
        <f>COUNTIFS('Risk register'!$T:$T,2,'Risk register'!$U:$U,3)</f>
        <v>0</v>
      </c>
      <c r="N12" s="49">
        <f>COUNTIFS('Risk register'!$T:$T,3,'Risk register'!$U:$U,3)</f>
        <v>2</v>
      </c>
      <c r="O12" s="50">
        <f>COUNTIFS('Risk register'!$T:$T,4,'Risk register'!$U:$U,3)</f>
        <v>0</v>
      </c>
      <c r="P12" s="50">
        <f>COUNTIFS('Risk register'!$T:$T,5,'Risk register'!$U:$U,3)</f>
        <v>0</v>
      </c>
      <c r="Q12" s="61"/>
    </row>
    <row r="13" spans="1:17" ht="55.35" customHeight="1" x14ac:dyDescent="0.3">
      <c r="A13" s="60"/>
      <c r="B13" s="93"/>
      <c r="C13" s="80" t="s">
        <v>69</v>
      </c>
      <c r="D13" s="52">
        <f>COUNTIFS('Risk register'!$K:$K,1,'Risk register'!$L:$L,2)</f>
        <v>0</v>
      </c>
      <c r="E13" s="48">
        <f>COUNTIFS('Risk register'!$K:$K,2,'Risk register'!$L:$L,2)</f>
        <v>0</v>
      </c>
      <c r="F13" s="48">
        <f>COUNTIFS('Risk register'!$K:$K,3,'Risk register'!$L:$L,2)</f>
        <v>0</v>
      </c>
      <c r="G13" s="49">
        <f>COUNTIFS('Risk register'!$K:$K,4,'Risk register'!$L:$L,2)</f>
        <v>0</v>
      </c>
      <c r="H13" s="49">
        <f>COUNTIFS('Risk register'!$K:$K,5,'Risk register'!$L:$L,2)</f>
        <v>0</v>
      </c>
      <c r="I13" s="59"/>
      <c r="J13" s="93"/>
      <c r="K13" s="80" t="s">
        <v>69</v>
      </c>
      <c r="L13" s="52">
        <f>COUNTIFS('Risk register'!$T:$T,1,'Risk register'!$U:$U,2)</f>
        <v>0</v>
      </c>
      <c r="M13" s="48">
        <f>COUNTIFS('Risk register'!$T:$T,2,'Risk register'!$U:$U,2)</f>
        <v>1</v>
      </c>
      <c r="N13" s="48">
        <f>COUNTIFS('Risk register'!$T:$T,3,'Risk register'!$U:$U,2)</f>
        <v>0</v>
      </c>
      <c r="O13" s="49">
        <f>COUNTIFS('Risk register'!$T:$T,4,'Risk register'!$U:$U,2)</f>
        <v>0</v>
      </c>
      <c r="P13" s="49">
        <f>COUNTIFS('Risk register'!$T:$T,5,'Risk register'!$U:$U,2)</f>
        <v>0</v>
      </c>
      <c r="Q13" s="61"/>
    </row>
    <row r="14" spans="1:17" ht="55.35" customHeight="1" x14ac:dyDescent="0.3">
      <c r="A14" s="60"/>
      <c r="B14" s="93"/>
      <c r="C14" s="80" t="s">
        <v>128</v>
      </c>
      <c r="D14" s="52">
        <f>COUNTIFS('Risk register'!$K:$K,1,'Risk register'!$L:$L,1)</f>
        <v>0</v>
      </c>
      <c r="E14" s="52">
        <f>COUNTIFS('Risk register'!$K:$K,2,'Risk register'!$L:$L,1)</f>
        <v>0</v>
      </c>
      <c r="F14" s="52">
        <f>COUNTIFS('Risk register'!$K:$K,3,'Risk register'!$L:$L,1)</f>
        <v>0</v>
      </c>
      <c r="G14" s="48">
        <f>COUNTIFS('Risk register'!$K:$K,4,'Risk register'!$L:$L,1)</f>
        <v>0</v>
      </c>
      <c r="H14" s="48">
        <f>COUNTIFS('Risk register'!$K:$K,5,'Risk register'!$L:$L,1)</f>
        <v>0</v>
      </c>
      <c r="I14" s="59"/>
      <c r="J14" s="93"/>
      <c r="K14" s="80" t="s">
        <v>128</v>
      </c>
      <c r="L14" s="52">
        <f>COUNTIFS('Risk register'!$T:$T,1,'Risk register'!$U:$U,1)</f>
        <v>1</v>
      </c>
      <c r="M14" s="52">
        <f>COUNTIFS('Risk register'!$T:$T,2,'Risk register'!$U:$U,1)</f>
        <v>0</v>
      </c>
      <c r="N14" s="52">
        <f>COUNTIFS('Risk register'!$T:$T,3,'Risk register'!$U:$U,1)</f>
        <v>0</v>
      </c>
      <c r="O14" s="48">
        <f>COUNTIFS('Risk register'!$T:$T,4,'Risk register'!$U:$U,1)</f>
        <v>0</v>
      </c>
      <c r="P14" s="48">
        <f>COUNTIFS('Risk register'!$T:$T,5,'Risk register'!$U:$U,1)</f>
        <v>0</v>
      </c>
      <c r="Q14" s="61"/>
    </row>
    <row r="15" spans="1:17" x14ac:dyDescent="0.3">
      <c r="A15" s="60"/>
      <c r="B15" s="62"/>
      <c r="C15" s="62"/>
      <c r="D15" s="81" t="s">
        <v>128</v>
      </c>
      <c r="E15" s="81" t="s">
        <v>69</v>
      </c>
      <c r="F15" s="81" t="s">
        <v>65</v>
      </c>
      <c r="G15" s="81" t="s">
        <v>61</v>
      </c>
      <c r="H15" s="81" t="s">
        <v>31</v>
      </c>
      <c r="I15" s="59"/>
      <c r="J15" s="62"/>
      <c r="K15" s="62"/>
      <c r="L15" s="81" t="s">
        <v>128</v>
      </c>
      <c r="M15" s="81" t="s">
        <v>69</v>
      </c>
      <c r="N15" s="81" t="s">
        <v>65</v>
      </c>
      <c r="O15" s="81" t="s">
        <v>61</v>
      </c>
      <c r="P15" s="81" t="s">
        <v>31</v>
      </c>
      <c r="Q15" s="61"/>
    </row>
    <row r="16" spans="1:17" x14ac:dyDescent="0.3">
      <c r="A16" s="60"/>
      <c r="B16" s="62"/>
      <c r="C16" s="62"/>
      <c r="D16" s="110" t="s">
        <v>129</v>
      </c>
      <c r="E16" s="93"/>
      <c r="F16" s="93"/>
      <c r="G16" s="93"/>
      <c r="H16" s="93"/>
      <c r="I16" s="59"/>
      <c r="J16" s="62"/>
      <c r="K16" s="62"/>
      <c r="L16" s="110" t="s">
        <v>129</v>
      </c>
      <c r="M16" s="93"/>
      <c r="N16" s="93"/>
      <c r="O16" s="93"/>
      <c r="P16" s="93"/>
      <c r="Q16" s="61"/>
    </row>
    <row r="17" spans="1:26" ht="15" customHeight="1" x14ac:dyDescent="0.3">
      <c r="A17" s="53"/>
      <c r="B17" s="54"/>
      <c r="C17" s="54"/>
      <c r="D17" s="54"/>
      <c r="E17" s="54"/>
      <c r="F17" s="54"/>
      <c r="G17" s="54"/>
      <c r="H17" s="54"/>
      <c r="I17" s="54"/>
      <c r="J17" s="54"/>
      <c r="K17" s="54"/>
      <c r="L17" s="54"/>
      <c r="M17" s="54"/>
      <c r="N17" s="54"/>
      <c r="O17" s="54"/>
      <c r="P17" s="54"/>
      <c r="Q17" s="55"/>
    </row>
    <row r="18" spans="1:26" ht="15" customHeight="1" x14ac:dyDescent="0.3">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 customHeight="1" x14ac:dyDescent="0.3">
      <c r="A19" s="3" t="s">
        <v>130</v>
      </c>
      <c r="B19" s="3"/>
      <c r="C19" s="3"/>
      <c r="D19" s="3"/>
      <c r="E19" s="3"/>
      <c r="F19" s="3"/>
      <c r="G19" s="3"/>
      <c r="H19" s="3"/>
      <c r="I19" s="3"/>
      <c r="J19" s="3"/>
      <c r="K19" s="3"/>
      <c r="L19" s="3"/>
      <c r="M19" s="3"/>
      <c r="N19" s="3"/>
      <c r="O19" s="3"/>
      <c r="P19" s="3"/>
      <c r="Q19" s="3"/>
      <c r="R19" s="3"/>
      <c r="S19" s="3"/>
      <c r="T19" s="3"/>
      <c r="U19" s="3"/>
      <c r="V19" s="3"/>
      <c r="W19" s="3"/>
      <c r="X19" s="3"/>
      <c r="Y19" s="3"/>
      <c r="Z19" s="3"/>
    </row>
    <row r="20" spans="1:26" ht="14.4" customHeight="1" x14ac:dyDescent="0.3">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4.4" customHeight="1" x14ac:dyDescent="0.3">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4" customHeight="1" x14ac:dyDescent="0.3">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4" customHeight="1" x14ac:dyDescent="0.3">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4" customHeight="1" x14ac:dyDescent="0.3">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4.4" customHeight="1" x14ac:dyDescent="0.3">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4" customHeight="1" x14ac:dyDescent="0.3">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4" customHeight="1" x14ac:dyDescent="0.3">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4" customHeight="1" x14ac:dyDescent="0.3">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4" customHeight="1" x14ac:dyDescent="0.3">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4" customHeight="1" x14ac:dyDescent="0.3">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4" customHeight="1" x14ac:dyDescent="0.3">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4"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4"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4"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4"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4"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4"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4"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4"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4"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4"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4"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4"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4"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4"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4"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4"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4"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4"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4"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4"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4"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4"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4"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4"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4"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4"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4"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4"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4"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4"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4"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4"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4"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4"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4"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4"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4"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4"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4"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4"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4"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4"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4"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4"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4"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4"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4"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4"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4"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4"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4"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4"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4"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4"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4"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4"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4"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4"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4"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4"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4"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4"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4"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4"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4"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4"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4"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4"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4"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4"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4"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4"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4"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4"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4"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4"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4"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4"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4"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4"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4"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4"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4"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4"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4"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4"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4"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4"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4"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4"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4"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4"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4"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4"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4"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4"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4"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4"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4"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4"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4"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4"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4"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4"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4"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4"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4"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4"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4"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4"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4"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4"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4"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4"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4"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4"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4"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4"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4"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4"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4"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4"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4"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4"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4"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4"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4"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4"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4"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4"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4"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4"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4"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4"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4"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4"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4"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6">
    <mergeCell ref="B10:B14"/>
    <mergeCell ref="B9:H9"/>
    <mergeCell ref="D16:H16"/>
    <mergeCell ref="J10:J14"/>
    <mergeCell ref="J9:P9"/>
    <mergeCell ref="L16:P16"/>
  </mergeCells>
  <pageMargins left="0.7" right="0.7" top="0.75" bottom="0.75" header="0.3" footer="0.3"/>
  <pageSetup orientation="portrait"/>
  <headerFooter>
    <oddHeader>&amp;L&amp;"Arial,Regular"&amp;10 &amp;K000000RESTRICTED  - Third Party</oddHeader>
    <oddFooter>&amp;R&amp;"Courier New"&amp;10 &amp;K0078D7#مقيد – عام</oddFooter>
    <evenHeader>&amp;L&amp;"Arial,Regular"&amp;10 &amp;K000000RESTRICTED  - Third Party</evenHeader>
    <firstHeader>&amp;L&amp;"Arial,Regular"&amp;10 &amp;K000000RESTRICTED  - Third Party</first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pageSetUpPr autoPageBreaks="0"/>
  </sheetPr>
  <dimension ref="A1:Z1010"/>
  <sheetViews>
    <sheetView showGridLines="0" topLeftCell="A7" workbookViewId="0">
      <selection activeCell="H32" sqref="H32"/>
    </sheetView>
  </sheetViews>
  <sheetFormatPr defaultColWidth="14.44140625" defaultRowHeight="15" customHeight="1" x14ac:dyDescent="0.3"/>
  <cols>
    <col min="1" max="1" width="12.5546875" style="29" customWidth="1"/>
    <col min="2" max="2" width="14.5546875" style="29" customWidth="1"/>
    <col min="3" max="3" width="4.5546875" style="29" bestFit="1" customWidth="1"/>
    <col min="4" max="8" width="14.5546875" style="29" customWidth="1"/>
    <col min="9" max="9" width="14.44140625" style="29" customWidth="1"/>
    <col min="10" max="11" width="4.5546875" style="29" customWidth="1"/>
    <col min="12" max="16" width="14.5546875" style="29" customWidth="1"/>
    <col min="17" max="17" width="14.44140625" style="29" customWidth="1"/>
    <col min="18" max="16384" width="14.44140625" style="29"/>
  </cols>
  <sheetData>
    <row r="1" spans="1:26" ht="15" customHeight="1" x14ac:dyDescent="0.3">
      <c r="A1" s="59"/>
      <c r="B1" s="59"/>
      <c r="C1" s="59"/>
      <c r="D1" s="59"/>
      <c r="E1" s="59"/>
      <c r="F1" s="59"/>
      <c r="G1" s="59"/>
      <c r="H1" s="59"/>
      <c r="I1" s="59"/>
      <c r="J1" s="59"/>
      <c r="K1" s="59"/>
      <c r="L1" s="59"/>
      <c r="M1" s="61"/>
    </row>
    <row r="2" spans="1:26" ht="15" customHeight="1" x14ac:dyDescent="0.3">
      <c r="A2" s="59"/>
      <c r="B2" s="59"/>
      <c r="C2" s="59"/>
      <c r="D2" s="59"/>
      <c r="E2" s="59"/>
      <c r="F2" s="59"/>
      <c r="G2" s="59"/>
      <c r="H2" s="59"/>
      <c r="I2" s="59"/>
      <c r="J2" s="59"/>
      <c r="K2" s="59"/>
      <c r="L2" s="59"/>
      <c r="M2" s="61"/>
    </row>
    <row r="3" spans="1:26" ht="15" customHeight="1" x14ac:dyDescent="0.3">
      <c r="A3" s="59"/>
      <c r="B3" s="59"/>
      <c r="C3" s="59"/>
      <c r="D3" s="59"/>
      <c r="E3" s="59"/>
      <c r="F3" s="59"/>
      <c r="G3" s="59"/>
      <c r="H3" s="59"/>
      <c r="I3" s="59"/>
      <c r="J3" s="59"/>
      <c r="K3" s="59"/>
      <c r="L3" s="59"/>
      <c r="M3" s="61"/>
    </row>
    <row r="4" spans="1:26" ht="15" customHeight="1" x14ac:dyDescent="0.3">
      <c r="A4" s="59"/>
      <c r="B4" s="59"/>
      <c r="C4" s="59"/>
      <c r="D4" s="59"/>
      <c r="E4" s="59"/>
      <c r="F4" s="59"/>
      <c r="G4" s="59"/>
      <c r="H4" s="59"/>
      <c r="I4" s="59"/>
      <c r="J4" s="59"/>
      <c r="K4" s="59"/>
      <c r="L4" s="59"/>
      <c r="M4" s="61"/>
    </row>
    <row r="5" spans="1:26" ht="15" customHeight="1" x14ac:dyDescent="0.3">
      <c r="A5" s="59"/>
      <c r="B5" s="59"/>
      <c r="C5" s="59"/>
      <c r="D5" s="59"/>
      <c r="E5" s="59"/>
      <c r="F5" s="59"/>
      <c r="G5" s="59"/>
      <c r="H5" s="59"/>
      <c r="I5" s="59"/>
      <c r="J5" s="59"/>
      <c r="K5" s="59"/>
      <c r="L5" s="59"/>
      <c r="M5" s="61"/>
    </row>
    <row r="6" spans="1:26" ht="15" customHeight="1" x14ac:dyDescent="0.3">
      <c r="A6" s="59"/>
      <c r="B6" s="59"/>
      <c r="C6" s="59"/>
      <c r="D6" s="59"/>
      <c r="E6" s="59"/>
      <c r="F6" s="59"/>
      <c r="G6" s="59"/>
      <c r="H6" s="59"/>
      <c r="I6" s="59"/>
      <c r="J6" s="59"/>
      <c r="K6" s="59"/>
      <c r="L6" s="59"/>
      <c r="M6" s="61"/>
    </row>
    <row r="7" spans="1:26" ht="15" customHeight="1" x14ac:dyDescent="0.3">
      <c r="A7" s="59"/>
      <c r="B7" s="59"/>
      <c r="C7" s="59"/>
      <c r="D7" s="59"/>
      <c r="E7" s="59"/>
      <c r="F7" s="59"/>
      <c r="G7" s="59"/>
      <c r="H7" s="59"/>
      <c r="I7" s="59"/>
      <c r="J7" s="59"/>
      <c r="K7" s="59"/>
      <c r="L7" s="59"/>
      <c r="M7" s="61"/>
    </row>
    <row r="8" spans="1:26" ht="15" customHeight="1" x14ac:dyDescent="0.3">
      <c r="A8" s="59"/>
      <c r="B8" s="64" t="str">
        <f>'Cover Page'!F24</f>
        <v>Confidential</v>
      </c>
      <c r="C8" s="59"/>
      <c r="D8" s="59"/>
      <c r="E8" s="59"/>
      <c r="F8" s="59"/>
      <c r="G8" s="59"/>
      <c r="H8" s="59"/>
      <c r="I8" s="59"/>
      <c r="J8" s="59"/>
      <c r="K8" s="59"/>
      <c r="L8" s="59"/>
      <c r="M8" s="61"/>
    </row>
    <row r="9" spans="1:26" ht="15" customHeight="1" x14ac:dyDescent="0.3">
      <c r="A9" s="59"/>
      <c r="B9" s="59"/>
      <c r="C9" s="59"/>
      <c r="D9" s="59"/>
      <c r="E9" s="59"/>
      <c r="F9" s="59"/>
      <c r="G9" s="59"/>
      <c r="H9" s="59"/>
      <c r="I9" s="59"/>
      <c r="J9" s="59"/>
      <c r="K9" s="59"/>
      <c r="L9" s="59"/>
      <c r="M9" s="61"/>
    </row>
    <row r="10" spans="1:26" ht="15" customHeight="1" x14ac:dyDescent="0.3">
      <c r="A10" s="60"/>
      <c r="B10" s="59"/>
      <c r="C10" s="59"/>
      <c r="D10" s="59"/>
      <c r="E10" s="59"/>
      <c r="F10" s="59"/>
      <c r="G10" s="59"/>
      <c r="H10" s="59"/>
      <c r="I10" s="59"/>
      <c r="J10" s="59"/>
      <c r="K10" s="59"/>
      <c r="L10" s="59"/>
      <c r="M10" s="61"/>
    </row>
    <row r="11" spans="1:26" ht="15" customHeight="1" x14ac:dyDescent="0.3">
      <c r="A11" s="60"/>
      <c r="B11" s="59"/>
      <c r="C11" s="59"/>
      <c r="D11" s="59"/>
      <c r="E11" s="59"/>
      <c r="F11" s="59"/>
      <c r="G11" s="59"/>
      <c r="H11" s="59"/>
      <c r="I11" s="59"/>
      <c r="J11" s="59"/>
      <c r="K11" s="59"/>
      <c r="L11" s="59"/>
      <c r="M11" s="61"/>
      <c r="N11" s="3"/>
      <c r="O11" s="3"/>
      <c r="P11" s="3"/>
      <c r="Q11" s="3"/>
      <c r="R11" s="3"/>
      <c r="S11" s="3"/>
      <c r="T11" s="3"/>
      <c r="U11" s="3"/>
      <c r="V11" s="3"/>
      <c r="W11" s="3"/>
      <c r="X11" s="3"/>
      <c r="Y11" s="3"/>
      <c r="Z11" s="3"/>
    </row>
    <row r="12" spans="1:26" ht="15" customHeight="1" x14ac:dyDescent="0.3">
      <c r="A12" s="60"/>
      <c r="B12" s="59"/>
      <c r="C12" s="59"/>
      <c r="D12" s="59"/>
      <c r="E12" s="59"/>
      <c r="F12" s="59"/>
      <c r="G12" s="59"/>
      <c r="H12" s="59"/>
      <c r="I12" s="59"/>
      <c r="J12" s="59"/>
      <c r="K12" s="59"/>
      <c r="L12" s="59"/>
      <c r="M12" s="61"/>
      <c r="N12" s="3"/>
      <c r="O12" s="3"/>
      <c r="P12" s="3"/>
      <c r="Q12" s="3"/>
      <c r="R12" s="3"/>
      <c r="S12" s="3"/>
      <c r="T12" s="3"/>
      <c r="U12" s="3"/>
      <c r="V12" s="3"/>
      <c r="W12" s="3"/>
      <c r="X12" s="3"/>
      <c r="Y12" s="3"/>
      <c r="Z12" s="3"/>
    </row>
    <row r="13" spans="1:26" ht="15" customHeight="1" x14ac:dyDescent="0.3">
      <c r="A13" s="60"/>
      <c r="B13" s="59"/>
      <c r="C13" s="59"/>
      <c r="D13" s="59"/>
      <c r="E13" s="59"/>
      <c r="F13" s="59"/>
      <c r="G13" s="59"/>
      <c r="H13" s="59"/>
      <c r="I13" s="59"/>
      <c r="J13" s="59"/>
      <c r="K13" s="59"/>
      <c r="L13" s="59"/>
      <c r="M13" s="61"/>
      <c r="N13" s="3"/>
      <c r="O13" s="3"/>
      <c r="P13" s="3"/>
      <c r="Q13" s="3"/>
      <c r="R13" s="3"/>
      <c r="S13" s="3"/>
      <c r="T13" s="3"/>
      <c r="U13" s="3"/>
      <c r="V13" s="3"/>
      <c r="W13" s="3"/>
      <c r="X13" s="3"/>
      <c r="Y13" s="3"/>
      <c r="Z13" s="3"/>
    </row>
    <row r="14" spans="1:26" ht="15" customHeight="1" x14ac:dyDescent="0.3">
      <c r="A14" s="60"/>
      <c r="B14" s="59"/>
      <c r="C14" s="59"/>
      <c r="D14" s="59"/>
      <c r="E14" s="59"/>
      <c r="F14" s="59"/>
      <c r="G14" s="59"/>
      <c r="H14" s="59"/>
      <c r="I14" s="59"/>
      <c r="J14" s="59"/>
      <c r="K14" s="59"/>
      <c r="L14" s="59"/>
      <c r="M14" s="61"/>
      <c r="N14" s="3"/>
      <c r="O14" s="3"/>
      <c r="P14" s="3"/>
      <c r="Q14" s="3"/>
      <c r="R14" s="3"/>
      <c r="S14" s="3"/>
      <c r="T14" s="3"/>
      <c r="U14" s="3"/>
      <c r="V14" s="3"/>
      <c r="W14" s="3"/>
      <c r="X14" s="3"/>
      <c r="Y14" s="3"/>
      <c r="Z14" s="3"/>
    </row>
    <row r="15" spans="1:26" ht="15" customHeight="1" x14ac:dyDescent="0.3">
      <c r="A15" s="60"/>
      <c r="B15" s="59"/>
      <c r="C15" s="59"/>
      <c r="D15" s="59"/>
      <c r="E15" s="59"/>
      <c r="F15" s="59"/>
      <c r="G15" s="59"/>
      <c r="H15" s="59"/>
      <c r="I15" s="59"/>
      <c r="J15" s="59"/>
      <c r="K15" s="59"/>
      <c r="L15" s="59"/>
      <c r="M15" s="61"/>
      <c r="N15" s="3"/>
      <c r="O15" s="3"/>
      <c r="P15" s="3"/>
      <c r="Q15" s="3"/>
      <c r="R15" s="3"/>
      <c r="S15" s="3"/>
      <c r="T15" s="3"/>
      <c r="U15" s="3"/>
      <c r="V15" s="3"/>
      <c r="W15" s="3"/>
      <c r="X15" s="3"/>
      <c r="Y15" s="3"/>
      <c r="Z15" s="3"/>
    </row>
    <row r="16" spans="1:26" ht="15" customHeight="1" x14ac:dyDescent="0.3">
      <c r="A16" s="60"/>
      <c r="B16" s="59"/>
      <c r="C16" s="59"/>
      <c r="D16" s="59"/>
      <c r="E16" s="59"/>
      <c r="F16" s="59"/>
      <c r="G16" s="59"/>
      <c r="H16" s="59"/>
      <c r="I16" s="59"/>
      <c r="J16" s="59"/>
      <c r="K16" s="59"/>
      <c r="L16" s="59"/>
      <c r="M16" s="61"/>
      <c r="N16" s="3"/>
      <c r="O16" s="3"/>
      <c r="P16" s="3"/>
      <c r="Q16" s="3"/>
      <c r="R16" s="3"/>
      <c r="S16" s="3"/>
      <c r="T16" s="3"/>
      <c r="U16" s="3"/>
      <c r="V16" s="3"/>
      <c r="W16" s="3"/>
      <c r="X16" s="3"/>
      <c r="Y16" s="3"/>
      <c r="Z16" s="3"/>
    </row>
    <row r="17" spans="1:26" ht="15" customHeight="1" x14ac:dyDescent="0.3">
      <c r="A17" s="60"/>
      <c r="B17" s="59"/>
      <c r="C17" s="59"/>
      <c r="D17" s="59"/>
      <c r="E17" s="59"/>
      <c r="F17" s="59"/>
      <c r="G17" s="59"/>
      <c r="H17" s="59"/>
      <c r="I17" s="59"/>
      <c r="J17" s="59"/>
      <c r="K17" s="59"/>
      <c r="L17" s="59"/>
      <c r="M17" s="61"/>
      <c r="N17" s="3"/>
      <c r="O17" s="3"/>
      <c r="P17" s="3"/>
      <c r="Q17" s="3"/>
      <c r="R17" s="3"/>
      <c r="S17" s="3"/>
      <c r="T17" s="3"/>
      <c r="U17" s="3"/>
      <c r="V17" s="3"/>
      <c r="W17" s="3"/>
      <c r="X17" s="3"/>
      <c r="Y17" s="3"/>
      <c r="Z17" s="3"/>
    </row>
    <row r="18" spans="1:26" ht="15" customHeight="1" x14ac:dyDescent="0.3">
      <c r="A18" s="60"/>
      <c r="B18" s="59"/>
      <c r="C18" s="59"/>
      <c r="D18" s="59"/>
      <c r="E18" s="59"/>
      <c r="F18" s="59"/>
      <c r="G18" s="59"/>
      <c r="H18" s="59"/>
      <c r="I18" s="59"/>
      <c r="J18" s="59"/>
      <c r="K18" s="59"/>
      <c r="L18" s="59"/>
      <c r="M18" s="61"/>
      <c r="N18" s="3"/>
      <c r="O18" s="3"/>
      <c r="P18" s="3"/>
      <c r="Q18" s="3"/>
      <c r="R18" s="3"/>
      <c r="S18" s="3"/>
      <c r="T18" s="3"/>
      <c r="U18" s="3"/>
      <c r="V18" s="3"/>
      <c r="W18" s="3"/>
      <c r="X18" s="3"/>
      <c r="Y18" s="3"/>
      <c r="Z18" s="3"/>
    </row>
    <row r="19" spans="1:26" ht="15" customHeight="1" x14ac:dyDescent="0.3">
      <c r="A19" s="60"/>
      <c r="B19" s="59"/>
      <c r="C19" s="59"/>
      <c r="D19" s="59"/>
      <c r="E19" s="59"/>
      <c r="F19" s="59"/>
      <c r="G19" s="59"/>
      <c r="H19" s="59"/>
      <c r="I19" s="59"/>
      <c r="J19" s="59"/>
      <c r="K19" s="59"/>
      <c r="L19" s="59"/>
      <c r="M19" s="61"/>
      <c r="N19" s="3"/>
      <c r="O19" s="3"/>
      <c r="P19" s="3"/>
      <c r="Q19" s="3"/>
      <c r="R19" s="3"/>
      <c r="S19" s="3"/>
      <c r="T19" s="3"/>
      <c r="U19" s="3"/>
      <c r="V19" s="3"/>
      <c r="W19" s="3"/>
      <c r="X19" s="3"/>
      <c r="Y19" s="3"/>
      <c r="Z19" s="3"/>
    </row>
    <row r="20" spans="1:26" ht="15" customHeight="1" x14ac:dyDescent="0.3">
      <c r="A20" s="60"/>
      <c r="B20" s="59"/>
      <c r="C20" s="59"/>
      <c r="D20" s="59"/>
      <c r="E20" s="59"/>
      <c r="F20" s="59"/>
      <c r="G20" s="59"/>
      <c r="H20" s="59"/>
      <c r="I20" s="59"/>
      <c r="J20" s="59"/>
      <c r="K20" s="59"/>
      <c r="L20" s="59"/>
      <c r="M20" s="61"/>
      <c r="N20" s="3"/>
      <c r="O20" s="3"/>
      <c r="P20" s="3"/>
      <c r="Q20" s="3"/>
      <c r="R20" s="3"/>
      <c r="S20" s="3"/>
      <c r="T20" s="3"/>
      <c r="U20" s="3"/>
      <c r="V20" s="3"/>
      <c r="W20" s="3"/>
      <c r="X20" s="3"/>
      <c r="Y20" s="3"/>
      <c r="Z20" s="3"/>
    </row>
    <row r="21" spans="1:26" ht="15" customHeight="1" x14ac:dyDescent="0.3">
      <c r="A21" s="60"/>
      <c r="B21" s="59"/>
      <c r="C21" s="59"/>
      <c r="D21" s="59"/>
      <c r="E21" s="59"/>
      <c r="F21" s="59"/>
      <c r="G21" s="59"/>
      <c r="H21" s="59"/>
      <c r="I21" s="59"/>
      <c r="J21" s="59"/>
      <c r="K21" s="59"/>
      <c r="L21" s="59"/>
      <c r="M21" s="61"/>
      <c r="N21" s="3"/>
      <c r="O21" s="3"/>
      <c r="P21" s="3"/>
      <c r="Q21" s="3"/>
      <c r="R21" s="3"/>
      <c r="S21" s="3"/>
      <c r="T21" s="3"/>
      <c r="U21" s="3"/>
      <c r="V21" s="3"/>
      <c r="W21" s="3"/>
      <c r="X21" s="3"/>
      <c r="Y21" s="3"/>
      <c r="Z21" s="3"/>
    </row>
    <row r="22" spans="1:26" ht="15" customHeight="1" x14ac:dyDescent="0.3">
      <c r="A22" s="60"/>
      <c r="B22" s="59"/>
      <c r="C22" s="59"/>
      <c r="D22" s="59"/>
      <c r="E22" s="59"/>
      <c r="F22" s="59"/>
      <c r="G22" s="59"/>
      <c r="H22" s="59"/>
      <c r="I22" s="59"/>
      <c r="J22" s="59"/>
      <c r="K22" s="59"/>
      <c r="L22" s="59"/>
      <c r="M22" s="61"/>
      <c r="N22" s="3"/>
      <c r="O22" s="3"/>
      <c r="P22" s="3"/>
      <c r="Q22" s="3"/>
      <c r="R22" s="3"/>
      <c r="S22" s="3"/>
      <c r="T22" s="3"/>
      <c r="U22" s="3"/>
      <c r="V22" s="3"/>
      <c r="W22" s="3"/>
      <c r="X22" s="3"/>
      <c r="Y22" s="3"/>
      <c r="Z22" s="3"/>
    </row>
    <row r="23" spans="1:26" ht="15" customHeight="1" x14ac:dyDescent="0.3">
      <c r="A23" s="60"/>
      <c r="B23" s="59"/>
      <c r="C23" s="59"/>
      <c r="D23" s="59"/>
      <c r="E23" s="59"/>
      <c r="F23" s="59"/>
      <c r="G23" s="59"/>
      <c r="H23" s="59"/>
      <c r="I23" s="59"/>
      <c r="J23" s="59"/>
      <c r="K23" s="59"/>
      <c r="L23" s="59"/>
      <c r="M23" s="61"/>
      <c r="N23" s="3"/>
      <c r="O23" s="3"/>
      <c r="P23" s="3"/>
      <c r="Q23" s="3"/>
      <c r="R23" s="3"/>
      <c r="S23" s="3"/>
      <c r="T23" s="3"/>
      <c r="U23" s="3"/>
      <c r="V23" s="3"/>
      <c r="W23" s="3"/>
      <c r="X23" s="3"/>
      <c r="Y23" s="3"/>
      <c r="Z23" s="3"/>
    </row>
    <row r="24" spans="1:26" ht="15" customHeight="1" x14ac:dyDescent="0.3">
      <c r="A24" s="60"/>
      <c r="B24" s="59"/>
      <c r="C24" s="59"/>
      <c r="D24" s="59"/>
      <c r="E24" s="59"/>
      <c r="F24" s="59"/>
      <c r="G24" s="59"/>
      <c r="H24" s="59"/>
      <c r="I24" s="59"/>
      <c r="J24" s="59"/>
      <c r="K24" s="59"/>
      <c r="L24" s="59"/>
      <c r="M24" s="61"/>
      <c r="N24" s="3"/>
      <c r="O24" s="3"/>
      <c r="P24" s="3"/>
      <c r="Q24" s="3"/>
      <c r="R24" s="3"/>
      <c r="S24" s="3"/>
      <c r="T24" s="3"/>
      <c r="U24" s="3"/>
      <c r="V24" s="3"/>
      <c r="W24" s="3"/>
      <c r="X24" s="3"/>
      <c r="Y24" s="3"/>
      <c r="Z24" s="3"/>
    </row>
    <row r="25" spans="1:26" ht="15" customHeight="1" x14ac:dyDescent="0.3">
      <c r="A25" s="60"/>
      <c r="B25" s="59"/>
      <c r="C25" s="59"/>
      <c r="D25" s="59"/>
      <c r="E25" s="59"/>
      <c r="F25" s="59"/>
      <c r="G25" s="59"/>
      <c r="H25" s="59"/>
      <c r="I25" s="59"/>
      <c r="J25" s="59"/>
      <c r="K25" s="59"/>
      <c r="L25" s="59"/>
      <c r="M25" s="61"/>
      <c r="N25" s="3"/>
      <c r="O25" s="3"/>
      <c r="P25" s="3"/>
      <c r="Q25" s="3"/>
      <c r="R25" s="3"/>
      <c r="S25" s="3"/>
      <c r="T25" s="3"/>
      <c r="U25" s="3"/>
      <c r="V25" s="3"/>
      <c r="W25" s="3"/>
      <c r="X25" s="3"/>
      <c r="Y25" s="3"/>
      <c r="Z25" s="3"/>
    </row>
    <row r="26" spans="1:26" ht="15" customHeight="1" x14ac:dyDescent="0.3">
      <c r="A26" s="60"/>
      <c r="B26" s="59"/>
      <c r="C26" s="59"/>
      <c r="D26" s="59"/>
      <c r="E26" s="59"/>
      <c r="F26" s="59"/>
      <c r="G26" s="59"/>
      <c r="H26" s="59"/>
      <c r="I26" s="59"/>
      <c r="J26" s="59"/>
      <c r="K26" s="59"/>
      <c r="L26" s="59"/>
      <c r="M26" s="61"/>
      <c r="N26" s="3"/>
      <c r="O26" s="3"/>
      <c r="P26" s="3"/>
      <c r="Q26" s="3"/>
      <c r="R26" s="3"/>
      <c r="S26" s="3"/>
      <c r="T26" s="3"/>
      <c r="U26" s="3"/>
      <c r="V26" s="3"/>
      <c r="W26" s="3"/>
      <c r="X26" s="3"/>
      <c r="Y26" s="3"/>
      <c r="Z26" s="3"/>
    </row>
    <row r="27" spans="1:26" ht="15" customHeight="1" x14ac:dyDescent="0.3">
      <c r="A27" s="60"/>
      <c r="B27" s="59"/>
      <c r="C27" s="59"/>
      <c r="D27" s="59"/>
      <c r="E27" s="59"/>
      <c r="F27" s="59"/>
      <c r="G27" s="59"/>
      <c r="H27" s="59"/>
      <c r="I27" s="59"/>
      <c r="J27" s="59"/>
      <c r="K27" s="59"/>
      <c r="L27" s="59"/>
      <c r="M27" s="61"/>
      <c r="N27" s="3"/>
      <c r="O27" s="3"/>
      <c r="P27" s="3"/>
      <c r="Q27" s="3"/>
      <c r="R27" s="3"/>
      <c r="S27" s="3"/>
      <c r="T27" s="3"/>
      <c r="U27" s="3"/>
      <c r="V27" s="3"/>
      <c r="W27" s="3"/>
      <c r="X27" s="3"/>
      <c r="Y27" s="3"/>
      <c r="Z27" s="3"/>
    </row>
    <row r="28" spans="1:26" ht="15" customHeight="1" x14ac:dyDescent="0.3">
      <c r="A28" s="60"/>
      <c r="B28" s="59"/>
      <c r="C28" s="59"/>
      <c r="D28" s="59"/>
      <c r="E28" s="59"/>
      <c r="F28" s="59"/>
      <c r="G28" s="59"/>
      <c r="H28" s="59"/>
      <c r="I28" s="59"/>
      <c r="J28" s="59"/>
      <c r="K28" s="59"/>
      <c r="L28" s="59"/>
      <c r="M28" s="61"/>
      <c r="N28" s="3"/>
      <c r="O28" s="3"/>
      <c r="P28" s="3"/>
      <c r="Q28" s="3"/>
      <c r="R28" s="3"/>
      <c r="S28" s="3"/>
      <c r="T28" s="3"/>
      <c r="U28" s="3"/>
      <c r="V28" s="3"/>
      <c r="W28" s="3"/>
      <c r="X28" s="3"/>
      <c r="Y28" s="3"/>
      <c r="Z28" s="3"/>
    </row>
    <row r="29" spans="1:26" ht="15" customHeight="1" x14ac:dyDescent="0.3">
      <c r="A29" s="60"/>
      <c r="B29" s="59"/>
      <c r="C29" s="59"/>
      <c r="D29" s="59"/>
      <c r="E29" s="59"/>
      <c r="F29" s="59"/>
      <c r="G29" s="59"/>
      <c r="H29" s="59"/>
      <c r="I29" s="59"/>
      <c r="J29" s="59"/>
      <c r="K29" s="59"/>
      <c r="L29" s="59"/>
      <c r="M29" s="61"/>
      <c r="N29" s="3"/>
      <c r="O29" s="3"/>
      <c r="P29" s="3"/>
      <c r="Q29" s="3"/>
      <c r="R29" s="3"/>
      <c r="S29" s="3"/>
      <c r="T29" s="3"/>
      <c r="U29" s="3"/>
      <c r="V29" s="3"/>
      <c r="W29" s="3"/>
      <c r="X29" s="3"/>
      <c r="Y29" s="3"/>
      <c r="Z29" s="3"/>
    </row>
    <row r="30" spans="1:26" ht="15" customHeight="1" x14ac:dyDescent="0.3">
      <c r="A30" s="60"/>
      <c r="B30" s="59"/>
      <c r="C30" s="59"/>
      <c r="D30" s="59"/>
      <c r="E30" s="59"/>
      <c r="F30" s="59"/>
      <c r="G30" s="59"/>
      <c r="H30" s="59"/>
      <c r="I30" s="59"/>
      <c r="J30" s="59"/>
      <c r="K30" s="59"/>
      <c r="L30" s="59"/>
      <c r="M30" s="61"/>
      <c r="N30" s="3"/>
      <c r="O30" s="3"/>
      <c r="P30" s="3"/>
      <c r="Q30" s="3"/>
      <c r="R30" s="3"/>
      <c r="S30" s="3"/>
      <c r="T30" s="3"/>
      <c r="U30" s="3"/>
      <c r="V30" s="3"/>
      <c r="W30" s="3"/>
      <c r="X30" s="3"/>
      <c r="Y30" s="3"/>
      <c r="Z30" s="3"/>
    </row>
    <row r="31" spans="1:26" ht="15" customHeight="1" x14ac:dyDescent="0.3">
      <c r="A31" s="56" t="s">
        <v>130</v>
      </c>
      <c r="B31" s="54"/>
      <c r="C31" s="54"/>
      <c r="D31" s="54"/>
      <c r="E31" s="54"/>
      <c r="F31" s="54"/>
      <c r="G31" s="54"/>
      <c r="H31" s="54"/>
      <c r="I31" s="54"/>
      <c r="J31" s="54"/>
      <c r="K31" s="54"/>
      <c r="L31" s="54"/>
      <c r="M31" s="55"/>
      <c r="N31" s="3"/>
      <c r="O31" s="3"/>
      <c r="P31" s="3"/>
      <c r="Q31" s="3"/>
      <c r="R31" s="3"/>
      <c r="S31" s="3"/>
      <c r="T31" s="3"/>
      <c r="U31" s="3"/>
      <c r="V31" s="3"/>
      <c r="W31" s="3"/>
      <c r="X31" s="3"/>
      <c r="Y31" s="3"/>
      <c r="Z31" s="3"/>
    </row>
    <row r="32" spans="1:26" ht="14.4" customHeight="1" x14ac:dyDescent="0.3">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4" customHeight="1" x14ac:dyDescent="0.3">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4" customHeight="1" x14ac:dyDescent="0.3">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4" customHeight="1" x14ac:dyDescent="0.3">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4" customHeight="1" x14ac:dyDescent="0.3">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4" customHeight="1" x14ac:dyDescent="0.3">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4" customHeight="1" x14ac:dyDescent="0.3">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4" customHeight="1" x14ac:dyDescent="0.3">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4" customHeight="1" x14ac:dyDescent="0.3">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4" customHeight="1" x14ac:dyDescent="0.3">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4" customHeight="1" x14ac:dyDescent="0.3">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4" customHeight="1" x14ac:dyDescent="0.3">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4" customHeight="1" x14ac:dyDescent="0.3">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4" customHeight="1" x14ac:dyDescent="0.3">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4" customHeight="1" x14ac:dyDescent="0.3">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4" customHeight="1" x14ac:dyDescent="0.3">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4" customHeight="1" x14ac:dyDescent="0.3">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4" customHeight="1" x14ac:dyDescent="0.3">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4" customHeight="1" x14ac:dyDescent="0.3">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4" customHeight="1" x14ac:dyDescent="0.3">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4" customHeight="1" x14ac:dyDescent="0.3">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4" customHeight="1" x14ac:dyDescent="0.3">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4" customHeight="1" x14ac:dyDescent="0.3">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4" customHeight="1" x14ac:dyDescent="0.3">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4" customHeight="1" x14ac:dyDescent="0.3">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4" customHeight="1" x14ac:dyDescent="0.3">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4" customHeight="1" x14ac:dyDescent="0.3">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4" customHeight="1" x14ac:dyDescent="0.3">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4" customHeight="1" x14ac:dyDescent="0.3">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4" customHeight="1" x14ac:dyDescent="0.3">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4" customHeight="1" x14ac:dyDescent="0.3">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4" customHeight="1" x14ac:dyDescent="0.3">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4" customHeight="1" x14ac:dyDescent="0.3">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4" customHeight="1" x14ac:dyDescent="0.3">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4" customHeight="1" x14ac:dyDescent="0.3">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4" customHeight="1" x14ac:dyDescent="0.3">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4" customHeight="1" x14ac:dyDescent="0.3">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4" customHeight="1" x14ac:dyDescent="0.3">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4" customHeight="1" x14ac:dyDescent="0.3">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4" customHeight="1" x14ac:dyDescent="0.3">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4" customHeight="1" x14ac:dyDescent="0.3">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4" customHeight="1" x14ac:dyDescent="0.3">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4" customHeight="1" x14ac:dyDescent="0.3">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4" customHeight="1" x14ac:dyDescent="0.3">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4" customHeight="1" x14ac:dyDescent="0.3">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4" customHeight="1" x14ac:dyDescent="0.3">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4" customHeight="1" x14ac:dyDescent="0.3">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4" customHeight="1" x14ac:dyDescent="0.3">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4" customHeight="1" x14ac:dyDescent="0.3">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4" customHeight="1" x14ac:dyDescent="0.3">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4" customHeight="1" x14ac:dyDescent="0.3">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4" customHeight="1" x14ac:dyDescent="0.3">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4" customHeight="1" x14ac:dyDescent="0.3">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4" customHeight="1" x14ac:dyDescent="0.3">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4" customHeight="1" x14ac:dyDescent="0.3">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4" customHeight="1" x14ac:dyDescent="0.3">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4" customHeight="1" x14ac:dyDescent="0.3">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4" customHeight="1" x14ac:dyDescent="0.3">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4" customHeight="1" x14ac:dyDescent="0.3">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4" customHeight="1" x14ac:dyDescent="0.3">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4" customHeight="1" x14ac:dyDescent="0.3">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4" customHeight="1" x14ac:dyDescent="0.3">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4" customHeight="1" x14ac:dyDescent="0.3">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4" customHeight="1" x14ac:dyDescent="0.3">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4" customHeight="1" x14ac:dyDescent="0.3">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4" customHeight="1" x14ac:dyDescent="0.3">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4" customHeight="1" x14ac:dyDescent="0.3">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4" customHeight="1" x14ac:dyDescent="0.3">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4" customHeight="1"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4" customHeight="1"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4" customHeight="1"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4" customHeight="1"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4" customHeight="1"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4" customHeight="1"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4" customHeight="1"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4" customHeight="1"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4" customHeight="1"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4" customHeight="1"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4" customHeight="1"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4" customHeight="1"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4" customHeight="1"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4" customHeight="1"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4" customHeight="1"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4" customHeight="1"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4" customHeight="1"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4" customHeight="1"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4" customHeight="1"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4" customHeight="1"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4" customHeight="1"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4" customHeight="1"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4" customHeight="1"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4" customHeight="1"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4" customHeight="1"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4" customHeight="1"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4" customHeight="1"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4" customHeight="1"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4" customHeight="1"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4" customHeight="1"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4" customHeight="1"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4" customHeight="1"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4" customHeight="1"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4" customHeight="1"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4" customHeight="1"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4" customHeight="1"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4" customHeight="1"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4" customHeight="1"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4" customHeight="1"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4" customHeight="1"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4" customHeight="1"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4" customHeight="1"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4" customHeight="1"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4" customHeight="1"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4" customHeight="1"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4" customHeight="1"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4" customHeight="1"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4" customHeight="1"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4" customHeight="1"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4" customHeight="1"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4" customHeight="1"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4" customHeight="1"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4" customHeight="1"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4" customHeight="1"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4" customHeight="1"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4" customHeight="1"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4" customHeight="1"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4" customHeight="1"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4" customHeight="1"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4" customHeight="1"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4" customHeight="1"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4" customHeight="1"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4" customHeight="1"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4" customHeight="1"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4" customHeight="1"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4" customHeight="1"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4" customHeight="1"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4" customHeight="1"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4" customHeight="1"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4" customHeight="1"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4" customHeight="1"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4" customHeight="1"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4" customHeight="1"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4" customHeight="1"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4" customHeight="1"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4" customHeight="1"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4" customHeight="1"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4" customHeight="1"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4" customHeight="1"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4" customHeight="1"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4" customHeight="1"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4" customHeight="1"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4" customHeight="1"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4" customHeight="1"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4" customHeight="1"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4" customHeight="1"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4" customHeight="1"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4" customHeight="1"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4" customHeight="1"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4" customHeight="1"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4" customHeight="1"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4" customHeight="1"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4" customHeight="1"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4" customHeight="1"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4" customHeight="1"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4" customHeight="1"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4" customHeight="1"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4" customHeight="1"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4" customHeight="1"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4" customHeight="1"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4" customHeight="1"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4" customHeight="1"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4" customHeight="1"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4" customHeight="1"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4" customHeight="1"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4" customHeight="1"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4" customHeight="1"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4" customHeight="1"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4" customHeight="1"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4" customHeight="1"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4" customHeight="1"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4" customHeight="1"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4" customHeight="1"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4" customHeight="1"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4" customHeight="1"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4" customHeight="1"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4" customHeight="1"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4" customHeight="1"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4" customHeight="1"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4" customHeight="1"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4" customHeight="1"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4" customHeight="1"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4" customHeight="1"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4" customHeight="1"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4" customHeight="1"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4" customHeight="1"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4" customHeight="1"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4" customHeight="1"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4" customHeight="1"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4" customHeight="1"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4" customHeight="1"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4" customHeight="1"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4" customHeight="1"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4" customHeight="1"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4" customHeight="1"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4" customHeight="1"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4" customHeight="1"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4" customHeight="1"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4" customHeight="1"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4" customHeight="1"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4" customHeight="1"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4" customHeight="1"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4" customHeight="1"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4" customHeight="1"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4" customHeight="1"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4" customHeight="1"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4" customHeight="1"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4" customHeight="1"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4" customHeight="1"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4" customHeight="1"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4" customHeight="1"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4" customHeight="1"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4" customHeight="1"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4" customHeight="1"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4" customHeight="1"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4" customHeight="1"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4" customHeight="1"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4" customHeight="1"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4" customHeight="1"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4" customHeight="1"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4" customHeight="1"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4" customHeight="1"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4" customHeight="1"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4" customHeight="1"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4" customHeight="1"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4" customHeight="1"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4" customHeight="1"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4" customHeight="1"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4" customHeight="1"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4" customHeight="1"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4" customHeight="1"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4" customHeight="1"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4" customHeight="1"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4" customHeight="1"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4" customHeight="1"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4" customHeight="1"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4" customHeight="1"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4" customHeight="1"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4" customHeight="1"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4" customHeight="1"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4" customHeight="1"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4" customHeight="1"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4" customHeight="1"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4" customHeight="1"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4" customHeight="1"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4" customHeight="1"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4" customHeight="1"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4" customHeight="1"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4" customHeight="1"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4" customHeight="1"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4" customHeight="1"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4" customHeight="1"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4" customHeight="1"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4" customHeight="1"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4" customHeight="1"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4" customHeight="1"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4" customHeight="1"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4" customHeight="1"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4" customHeight="1"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4" customHeight="1"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4" customHeight="1"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4" customHeight="1"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4" customHeight="1"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4" customHeight="1"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4" customHeight="1"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4" customHeight="1"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4" customHeight="1"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4" customHeight="1"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4" customHeight="1"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4" customHeight="1"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4" customHeight="1"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4" customHeight="1"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4" customHeight="1"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4" customHeight="1"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4" customHeight="1"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4" customHeight="1"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4" customHeight="1"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4" customHeight="1"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4" customHeight="1"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4" customHeight="1"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4" customHeight="1"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4" customHeight="1"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4" customHeight="1"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4" customHeight="1"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4" customHeight="1"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4" customHeight="1"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4" customHeight="1"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4" customHeight="1"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4" customHeight="1"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4" customHeight="1"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4" customHeight="1"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4" customHeight="1"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4" customHeight="1"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4" customHeight="1"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4" customHeight="1"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4" customHeight="1"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4" customHeight="1"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4" customHeight="1"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4" customHeight="1"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4" customHeight="1"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4" customHeight="1"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4" customHeight="1"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4" customHeight="1"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4" customHeight="1"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4" customHeight="1"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4" customHeight="1"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4" customHeight="1"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4" customHeight="1"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4" customHeight="1"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4" customHeight="1"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4" customHeight="1"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4" customHeight="1"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4" customHeight="1"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4" customHeight="1"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4" customHeight="1"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4" customHeight="1"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4" customHeight="1"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4" customHeight="1"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4" customHeight="1"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4" customHeight="1"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4" customHeight="1"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4" customHeight="1"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4" customHeight="1"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4" customHeight="1"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4" customHeight="1"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4" customHeight="1"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4" customHeight="1"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4" customHeight="1"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4" customHeight="1"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4" customHeight="1"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4" customHeight="1"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4" customHeight="1"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4" customHeight="1"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4" customHeight="1"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4" customHeight="1"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4" customHeight="1"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4" customHeight="1"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4" customHeight="1"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4" customHeight="1"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4" customHeight="1"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4" customHeight="1"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4" customHeight="1"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4" customHeight="1"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4" customHeight="1"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4" customHeight="1"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4" customHeight="1"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4" customHeight="1"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4" customHeight="1"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4" customHeight="1"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4" customHeight="1"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4" customHeight="1"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4" customHeight="1"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4" customHeight="1"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4" customHeight="1"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4" customHeight="1"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4" customHeight="1"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4" customHeight="1"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4" customHeight="1"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4" customHeight="1"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4" customHeight="1"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4" customHeight="1"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4" customHeight="1"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4" customHeight="1"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4" customHeight="1"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4" customHeight="1"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4" customHeight="1"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4" customHeight="1"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4" customHeight="1"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4" customHeight="1"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4" customHeight="1"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4" customHeight="1"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4" customHeight="1"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4" customHeight="1"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4" customHeight="1"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4" customHeight="1"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4" customHeight="1"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4" customHeight="1"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4" customHeight="1"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4" customHeight="1"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4" customHeight="1"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4" customHeight="1"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4" customHeight="1"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4" customHeight="1"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4" customHeight="1"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4" customHeight="1"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4" customHeight="1"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4" customHeight="1"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4" customHeight="1"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4" customHeight="1"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4" customHeight="1"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4" customHeight="1"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4" customHeight="1"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4" customHeight="1"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4" customHeight="1"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4" customHeight="1"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4" customHeight="1"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4" customHeight="1"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4" customHeight="1"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4" customHeight="1"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4" customHeight="1"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4" customHeight="1"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4" customHeight="1"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4" customHeight="1"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4" customHeight="1"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4" customHeight="1"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4" customHeight="1"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4" customHeight="1"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4" customHeight="1"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4" customHeight="1"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4" customHeight="1"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4" customHeight="1"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4" customHeight="1"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4" customHeight="1"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4" customHeight="1"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4" customHeight="1"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4" customHeight="1"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4" customHeight="1"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4" customHeight="1"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4" customHeight="1"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4" customHeight="1"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4" customHeight="1"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4" customHeight="1"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4" customHeight="1"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4" customHeight="1"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4" customHeight="1"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4" customHeight="1"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4" customHeight="1"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4" customHeight="1"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4" customHeight="1"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4" customHeight="1"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4" customHeight="1"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4" customHeight="1"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4" customHeight="1"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4" customHeight="1"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4" customHeight="1"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4" customHeight="1"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4" customHeight="1"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4" customHeight="1"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4" customHeight="1"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4" customHeight="1"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4" customHeight="1"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4" customHeight="1"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4" customHeight="1"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4" customHeight="1"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4" customHeight="1"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4" customHeight="1"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4" customHeight="1"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4" customHeight="1"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4" customHeight="1"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4" customHeight="1"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4" customHeight="1"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4" customHeight="1"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4" customHeight="1"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4" customHeight="1"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4" customHeight="1"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4" customHeight="1"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4" customHeight="1"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4" customHeight="1"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4" customHeight="1"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4" customHeight="1"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4" customHeight="1"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4" customHeight="1"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4" customHeight="1"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4" customHeight="1"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4" customHeight="1"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4" customHeight="1"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4" customHeight="1"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4" customHeight="1"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4" customHeight="1"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4" customHeight="1"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4" customHeight="1"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4" customHeight="1"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4" customHeight="1"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4" customHeight="1"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4" customHeight="1"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4" customHeight="1"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4" customHeight="1"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4" customHeight="1"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4" customHeight="1"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4" customHeight="1"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4" customHeight="1"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4" customHeight="1"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4" customHeight="1"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4" customHeight="1"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4" customHeight="1"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4" customHeight="1"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4" customHeight="1"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4" customHeight="1"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4" customHeight="1"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4" customHeight="1"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4" customHeight="1"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4" customHeight="1"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4" customHeight="1"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4" customHeight="1"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4" customHeight="1"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4" customHeight="1"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4" customHeight="1"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4" customHeight="1"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4" customHeight="1"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4" customHeight="1"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4" customHeight="1"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4" customHeight="1"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4" customHeight="1"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4" customHeight="1"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4" customHeight="1"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4" customHeight="1"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4" customHeight="1"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4" customHeight="1"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4" customHeight="1"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4" customHeight="1"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4" customHeight="1"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4" customHeight="1"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4" customHeight="1"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4" customHeight="1"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4" customHeight="1"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4" customHeight="1"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4" customHeight="1"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4" customHeight="1"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4" customHeight="1"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4" customHeight="1"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4" customHeight="1"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4" customHeight="1"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4" customHeight="1"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4" customHeight="1"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4" customHeight="1"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4" customHeight="1"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4" customHeight="1"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4" customHeight="1"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4" customHeight="1"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4" customHeight="1"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4" customHeight="1"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4" customHeight="1"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4" customHeight="1"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4" customHeight="1"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4" customHeight="1"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4" customHeight="1"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4" customHeight="1"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4" customHeight="1"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4" customHeight="1"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4" customHeight="1"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4" customHeight="1"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4" customHeight="1"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4" customHeight="1"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4" customHeight="1"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4" customHeight="1"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4" customHeight="1"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4" customHeight="1"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4" customHeight="1"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4" customHeight="1"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4" customHeight="1"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4" customHeight="1"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4" customHeight="1"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4" customHeight="1"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4" customHeight="1"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4" customHeight="1"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4" customHeight="1"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4" customHeight="1"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4" customHeight="1"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4" customHeight="1"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4" customHeight="1"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4" customHeight="1"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4" customHeight="1"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4" customHeight="1"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4" customHeight="1"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4" customHeight="1"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4" customHeight="1"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4" customHeight="1"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4" customHeight="1"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4" customHeight="1"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4" customHeight="1"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4" customHeight="1"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4" customHeight="1"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4" customHeight="1"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4" customHeight="1"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4" customHeight="1"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4" customHeight="1"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4" customHeight="1"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4" customHeight="1"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4" customHeight="1"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4" customHeight="1"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4" customHeight="1"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4" customHeight="1"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4" customHeight="1"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4" customHeight="1"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4" customHeight="1"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4" customHeight="1"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4" customHeight="1"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4" customHeight="1"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4" customHeight="1"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4" customHeight="1"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4" customHeight="1"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4" customHeight="1"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4" customHeight="1"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4" customHeight="1"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4" customHeight="1"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4" customHeight="1"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4" customHeight="1"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4" customHeight="1"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4" customHeight="1"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4" customHeight="1"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4" customHeight="1"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4" customHeight="1"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4" customHeight="1"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4" customHeight="1"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4" customHeight="1"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4" customHeight="1"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4" customHeight="1"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4" customHeight="1"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4" customHeight="1"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4" customHeight="1"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4" customHeight="1"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4" customHeight="1"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4" customHeight="1"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4" customHeight="1"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4" customHeight="1"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4" customHeight="1"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4" customHeight="1"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4" customHeight="1"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4" customHeight="1"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4" customHeight="1"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4" customHeight="1"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4" customHeight="1"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4" customHeight="1"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4" customHeight="1"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4" customHeight="1"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4" customHeight="1"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4" customHeight="1"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4" customHeight="1"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4" customHeight="1"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4" customHeight="1"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4" customHeight="1"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4" customHeight="1"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4" customHeight="1"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4" customHeight="1"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4" customHeight="1"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4" customHeight="1"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4" customHeight="1"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4" customHeight="1"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4" customHeight="1"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4" customHeight="1"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4" customHeight="1"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4" customHeight="1"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4" customHeight="1"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4" customHeight="1"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4" customHeight="1"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4" customHeight="1"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4" customHeight="1"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4" customHeight="1"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4" customHeight="1"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4" customHeight="1"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4" customHeight="1"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4" customHeight="1"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4" customHeight="1"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4" customHeight="1"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4" customHeight="1"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4" customHeight="1"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4" customHeight="1"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4" customHeight="1"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4" customHeight="1"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4" customHeight="1"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4" customHeight="1"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4" customHeight="1"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4" customHeight="1"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4" customHeight="1"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4" customHeight="1"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4" customHeight="1"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4" customHeight="1"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4" customHeight="1"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4" customHeight="1"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4" customHeight="1"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4" customHeight="1"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4" customHeight="1"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4" customHeight="1"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4" customHeight="1"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4" customHeight="1"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4" customHeight="1"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4" customHeight="1"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4" customHeight="1"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4" customHeight="1"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4" customHeight="1"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4" customHeight="1"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4" customHeight="1"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4" customHeight="1"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4" customHeight="1"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4" customHeight="1"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4" customHeight="1"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4" customHeight="1"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4" customHeight="1"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4" customHeight="1"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4" customHeight="1"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4" customHeight="1"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4" customHeight="1"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4" customHeight="1"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4" customHeight="1"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4" customHeight="1"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4" customHeight="1"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4" customHeight="1"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4" customHeight="1"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4" customHeight="1"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4" customHeight="1"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4" customHeight="1"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4" customHeight="1"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4" customHeight="1"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4" customHeight="1"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4" customHeight="1"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4" customHeight="1"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4" customHeight="1"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4" customHeight="1"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4" customHeight="1"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4" customHeight="1"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4" customHeight="1"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4" customHeight="1"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4" customHeight="1"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4" customHeight="1"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4" customHeight="1"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4" customHeight="1"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4" customHeight="1"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4" customHeight="1"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4" customHeight="1"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4" customHeight="1"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4" customHeight="1"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4" customHeight="1"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4" customHeight="1"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4" customHeight="1"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4" customHeight="1"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4" customHeight="1"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4" customHeight="1"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4" customHeight="1"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4" customHeight="1"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4" customHeight="1"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4" customHeight="1"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4" customHeight="1"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4" customHeight="1"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4" customHeight="1"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4" customHeight="1"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4" customHeight="1"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4" customHeight="1"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4" customHeight="1"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4" customHeight="1"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4" customHeight="1"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4" customHeight="1"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4" customHeight="1"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4" customHeight="1"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4" customHeight="1"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4" customHeight="1"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4" customHeight="1"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4" customHeight="1"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4" customHeight="1"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4" customHeight="1"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4" customHeight="1"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4" customHeight="1"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4" customHeight="1"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4" customHeight="1"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4" customHeight="1"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4" customHeight="1"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4" customHeight="1"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4" customHeight="1"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4" customHeight="1"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4" customHeight="1"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4" customHeight="1"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4" customHeight="1"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4" customHeight="1"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4" customHeight="1"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4" customHeight="1"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4" customHeight="1"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4" customHeight="1"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4" customHeight="1"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4" customHeight="1"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4" customHeight="1"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4" customHeight="1"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4" customHeight="1"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4" customHeight="1"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4" customHeight="1"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4" customHeight="1"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4" customHeight="1"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4" customHeight="1"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4" customHeight="1"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4" customHeight="1"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4" customHeight="1"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4" customHeight="1"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4" customHeight="1"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4" customHeight="1"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4" customHeight="1"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4" customHeight="1"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4" customHeight="1"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4" customHeight="1"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4" customHeight="1"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4" customHeight="1"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4" customHeight="1"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4" customHeight="1"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4" customHeight="1"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4" customHeight="1"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4" customHeight="1"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4" customHeight="1"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4" customHeight="1"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4" customHeight="1"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4" customHeight="1"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4" customHeight="1"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4" customHeight="1"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4" customHeight="1"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4" customHeight="1"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4" customHeight="1"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4" customHeight="1"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4" customHeight="1"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4" customHeight="1"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4" customHeight="1"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4" customHeight="1"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4" customHeight="1"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4" customHeight="1"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4" customHeight="1"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4" customHeight="1"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4" customHeight="1"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4" customHeight="1"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4" customHeight="1"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4" customHeight="1"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4" customHeight="1"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4" customHeight="1"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4" customHeight="1"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4" customHeight="1"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4" customHeight="1"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4" customHeight="1"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4" customHeight="1"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4" customHeight="1"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4" customHeight="1"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4" customHeight="1"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4" customHeight="1"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4" customHeight="1"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4" customHeight="1"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4" customHeight="1"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4" customHeight="1"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4" customHeight="1"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4" customHeight="1"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4" customHeight="1"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4" customHeight="1"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4" customHeight="1"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4" customHeight="1"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4" customHeight="1"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4" customHeight="1"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4" customHeight="1"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4" customHeight="1"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4" customHeight="1"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4" customHeight="1"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4" customHeight="1"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4" customHeight="1"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4" customHeight="1"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4" customHeight="1"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4" customHeight="1"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4" customHeight="1"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4" customHeight="1"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4" customHeight="1"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4" customHeight="1"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4" customHeight="1"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4" customHeight="1"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4" customHeight="1"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4" customHeight="1"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4" customHeight="1"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4" customHeight="1"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4" customHeight="1"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4" customHeight="1"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4" customHeight="1"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4" customHeight="1"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4" customHeight="1"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4" customHeight="1"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4" customHeight="1"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4" customHeight="1"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4" customHeight="1"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4" customHeight="1"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4" customHeight="1"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4" customHeight="1"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4" customHeight="1"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4" customHeight="1"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4" customHeight="1"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4" customHeight="1"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4" customHeight="1"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4" customHeight="1"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4" customHeight="1"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4" customHeight="1"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4" customHeight="1"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4" customHeight="1"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4" customHeight="1"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4" customHeight="1"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4" customHeight="1"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4" customHeight="1"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4" customHeight="1"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4" customHeight="1"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4" customHeight="1"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4" customHeight="1"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4" customHeight="1"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4" customHeight="1"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4" customHeight="1"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4" customHeight="1"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4" customHeight="1"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4" customHeight="1"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4" customHeight="1"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4" customHeight="1"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4" customHeight="1"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4" customHeight="1"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4" customHeight="1"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4" customHeight="1"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4" customHeight="1"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4" customHeight="1"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4" customHeight="1"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4" customHeight="1"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4" customHeight="1"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4" customHeight="1"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4" customHeight="1"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4" customHeight="1"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4" customHeight="1" x14ac:dyDescent="0.3">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4" customHeight="1" x14ac:dyDescent="0.3">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4" customHeight="1" x14ac:dyDescent="0.3">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4" customHeight="1" x14ac:dyDescent="0.3">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4" customHeight="1" x14ac:dyDescent="0.3">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4" customHeight="1" x14ac:dyDescent="0.3">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4" customHeight="1" x14ac:dyDescent="0.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4" customHeight="1" x14ac:dyDescent="0.3">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4" customHeight="1" x14ac:dyDescent="0.3">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4" customHeight="1" x14ac:dyDescent="0.3">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4" customHeight="1" x14ac:dyDescent="0.3">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4" customHeight="1" x14ac:dyDescent="0.3">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4" customHeight="1" x14ac:dyDescent="0.3">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4" customHeight="1" x14ac:dyDescent="0.3">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4" customHeight="1" x14ac:dyDescent="0.3">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4" customHeight="1" x14ac:dyDescent="0.3">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4" customHeight="1" x14ac:dyDescent="0.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4" customHeight="1" x14ac:dyDescent="0.3">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4" customHeight="1" x14ac:dyDescent="0.3">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4" customHeight="1" x14ac:dyDescent="0.3">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4" customHeight="1" x14ac:dyDescent="0.3">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4" customHeight="1" x14ac:dyDescent="0.3">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4" customHeight="1" x14ac:dyDescent="0.3">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4" customHeight="1" x14ac:dyDescent="0.3">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4" customHeight="1" x14ac:dyDescent="0.3">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4" customHeight="1" x14ac:dyDescent="0.3">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4" customHeight="1" x14ac:dyDescent="0.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4" customHeight="1" x14ac:dyDescent="0.3">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4" customHeight="1" x14ac:dyDescent="0.3">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4" customHeight="1" x14ac:dyDescent="0.3">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4" customHeight="1" x14ac:dyDescent="0.3">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4" customHeight="1" x14ac:dyDescent="0.3">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4" customHeight="1" x14ac:dyDescent="0.3">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4" customHeight="1" x14ac:dyDescent="0.3">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4" customHeight="1" x14ac:dyDescent="0.3">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4" customHeight="1" x14ac:dyDescent="0.3">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4" customHeight="1" x14ac:dyDescent="0.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4" customHeight="1" x14ac:dyDescent="0.3">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4" customHeight="1" x14ac:dyDescent="0.3">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4" customHeight="1" x14ac:dyDescent="0.3">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4" customHeight="1" x14ac:dyDescent="0.3">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4" customHeight="1" x14ac:dyDescent="0.3">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4" customHeight="1" x14ac:dyDescent="0.3">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4" customHeight="1" x14ac:dyDescent="0.3">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4" customHeight="1" x14ac:dyDescent="0.3">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4" customHeight="1" x14ac:dyDescent="0.3">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4" customHeight="1" x14ac:dyDescent="0.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4" customHeight="1" x14ac:dyDescent="0.3">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4" customHeight="1" x14ac:dyDescent="0.3">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4" customHeight="1" x14ac:dyDescent="0.3">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4" customHeight="1" x14ac:dyDescent="0.3">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4" customHeight="1" x14ac:dyDescent="0.3">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4" customHeight="1" x14ac:dyDescent="0.3">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4" customHeight="1" x14ac:dyDescent="0.3">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4.4" customHeight="1" x14ac:dyDescent="0.3">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spans="1:26" ht="14.4" customHeight="1" x14ac:dyDescent="0.3">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spans="1:26" ht="14.4" customHeight="1" x14ac:dyDescent="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spans="1:26" ht="14.4" customHeight="1" x14ac:dyDescent="0.3">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spans="1:26" ht="14.4" customHeight="1" x14ac:dyDescent="0.3">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spans="1:26" ht="14.4" customHeight="1" x14ac:dyDescent="0.3">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spans="1:26" ht="14.4" customHeight="1" x14ac:dyDescent="0.3">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spans="1:26" ht="14.4" customHeight="1" x14ac:dyDescent="0.3">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spans="1:26" ht="14.4" customHeight="1" x14ac:dyDescent="0.3">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spans="1:26" ht="14.4" customHeight="1" x14ac:dyDescent="0.3">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sheetData>
  <pageMargins left="0.7" right="0.7" top="0.75" bottom="0.75" header="0.3" footer="0.3"/>
  <pageSetup orientation="portrait"/>
  <headerFooter>
    <oddHeader>&amp;L&amp;"Arial,Regular"&amp;10 &amp;K000000RESTRICTED  - Third Party</oddHeader>
    <oddFooter>&amp;R&amp;"Courier New"&amp;10 &amp;K0078D7#مقيد – عام</oddFooter>
    <evenHeader>&amp;L&amp;"Arial,Regular"&amp;10 &amp;K000000RESTRICTED  - Third Party</evenHeader>
    <firstHeader>&amp;L&amp;"Arial,Regular"&amp;10 &amp;K000000RESTRICTED  - Third Party</first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autoPageBreaks="0"/>
  </sheetPr>
  <dimension ref="B2:F7"/>
  <sheetViews>
    <sheetView workbookViewId="0">
      <selection activeCell="B2" sqref="B2:C7"/>
    </sheetView>
  </sheetViews>
  <sheetFormatPr defaultRowHeight="14.4" x14ac:dyDescent="0.3"/>
  <sheetData>
    <row r="2" spans="2:6" x14ac:dyDescent="0.3">
      <c r="B2" s="111" t="s">
        <v>131</v>
      </c>
      <c r="C2" s="112"/>
      <c r="E2" s="111" t="s">
        <v>132</v>
      </c>
      <c r="F2" s="112"/>
    </row>
    <row r="3" spans="2:6" x14ac:dyDescent="0.3">
      <c r="B3" t="s">
        <v>31</v>
      </c>
      <c r="C3">
        <f>COUNTIF('Risk register'!M:M,"Critical")</f>
        <v>7</v>
      </c>
      <c r="E3" t="s">
        <v>31</v>
      </c>
      <c r="F3">
        <f>COUNTIF('Risk register'!V:V,"Critical")</f>
        <v>1</v>
      </c>
    </row>
    <row r="4" spans="2:6" x14ac:dyDescent="0.3">
      <c r="B4" t="s">
        <v>61</v>
      </c>
      <c r="C4">
        <f>COUNTIF('Risk register'!M:M,"High")</f>
        <v>1</v>
      </c>
      <c r="E4" t="s">
        <v>61</v>
      </c>
      <c r="F4">
        <f>COUNTIF('Risk register'!V:V,"High")</f>
        <v>0</v>
      </c>
    </row>
    <row r="5" spans="2:6" x14ac:dyDescent="0.3">
      <c r="B5" t="s">
        <v>65</v>
      </c>
      <c r="C5">
        <f>COUNTIF('Risk register'!M:M,"Medium")</f>
        <v>0</v>
      </c>
      <c r="E5" t="s">
        <v>65</v>
      </c>
      <c r="F5">
        <f>COUNTIF('Risk register'!V:V,"Medium")</f>
        <v>5</v>
      </c>
    </row>
    <row r="6" spans="2:6" x14ac:dyDescent="0.3">
      <c r="B6" t="s">
        <v>69</v>
      </c>
      <c r="C6">
        <f>COUNTIF('Risk register'!M:M,"Low")</f>
        <v>0</v>
      </c>
      <c r="E6" t="s">
        <v>69</v>
      </c>
      <c r="F6">
        <f>COUNTIF('Risk register'!V:V,"Low")</f>
        <v>1</v>
      </c>
    </row>
    <row r="7" spans="2:6" x14ac:dyDescent="0.3">
      <c r="B7" t="s">
        <v>71</v>
      </c>
      <c r="C7">
        <f>COUNTIF('Risk register'!M:M,"Very Low")</f>
        <v>0</v>
      </c>
      <c r="E7" t="s">
        <v>71</v>
      </c>
      <c r="F7">
        <f>COUNTIF('Risk register'!V:V,"Very Low")</f>
        <v>1</v>
      </c>
    </row>
  </sheetData>
  <mergeCells count="2">
    <mergeCell ref="E2:F2"/>
    <mergeCell ref="B2:C2"/>
  </mergeCells>
  <pageMargins left="0.7" right="0.7" top="0.75" bottom="0.75" header="0.3" footer="0.3"/>
  <pageSetup orientation="portrait"/>
  <headerFooter>
    <oddHeader>&amp;L&amp;"Arial,Regular"&amp;10 &amp;K000000RESTRICTED  - Third Party</oddHeader>
    <oddFooter>&amp;R&amp;"Courier New"&amp;10 &amp;K0078D7#مقيد – عام</oddFooter>
    <evenHeader>&amp;L&amp;"Arial,Regular"&amp;10 &amp;K000000RESTRICTED  - Third Party</evenHeader>
    <firstHeader>&amp;L&amp;"Arial,Regular"&amp;10 &amp;K000000RESTRICTED  - Third Party</first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Page</vt:lpstr>
      <vt:lpstr>Data Validation</vt:lpstr>
      <vt:lpstr>Version control</vt:lpstr>
      <vt:lpstr>Risk register legend</vt:lpstr>
      <vt:lpstr>Risk register</vt:lpstr>
      <vt:lpstr>Heat map</vt:lpstr>
      <vt:lpstr>Overall risks</vt:lpstr>
      <vt:lpstr>Summary of risks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samara risha</cp:lastModifiedBy>
  <cp:revision>1</cp:revision>
  <dcterms:created xsi:type="dcterms:W3CDTF">2023-11-11T17:00:37Z</dcterms:created>
  <dcterms:modified xsi:type="dcterms:W3CDTF">2026-04-08T14:40:28Z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194e219-2117-4cf2-ac13-de3be428a23a_Enabled">
    <vt:lpwstr>True</vt:lpwstr>
  </property>
  <property fmtid="{D5CDD505-2E9C-101B-9397-08002B2CF9AE}" pid="3" name="MSIP_Label_9194e219-2117-4cf2-ac13-de3be428a23a_SiteId">
    <vt:lpwstr>3513f714-df76-4adb-86d2-f4a9bf2351c5</vt:lpwstr>
  </property>
  <property fmtid="{D5CDD505-2E9C-101B-9397-08002B2CF9AE}" pid="4" name="MSIP_Label_9194e219-2117-4cf2-ac13-de3be428a23a_Owner">
    <vt:lpwstr>101191452@MARS.LOCAL</vt:lpwstr>
  </property>
  <property fmtid="{D5CDD505-2E9C-101B-9397-08002B2CF9AE}" pid="5" name="MSIP_Label_9194e219-2117-4cf2-ac13-de3be428a23a_SetDate">
    <vt:lpwstr>2023-11-12T08:59:59.1948053Z</vt:lpwstr>
  </property>
  <property fmtid="{D5CDD505-2E9C-101B-9397-08002B2CF9AE}" pid="6" name="MSIP_Label_9194e219-2117-4cf2-ac13-de3be428a23a_Name">
    <vt:lpwstr>عام</vt:lpwstr>
  </property>
  <property fmtid="{D5CDD505-2E9C-101B-9397-08002B2CF9AE}" pid="7" name="MSIP_Label_9194e219-2117-4cf2-ac13-de3be428a23a_Application">
    <vt:lpwstr>Microsoft Azure Information Protection</vt:lpwstr>
  </property>
  <property fmtid="{D5CDD505-2E9C-101B-9397-08002B2CF9AE}" pid="8" name="MSIP_Label_9194e219-2117-4cf2-ac13-de3be428a23a_ActionId">
    <vt:lpwstr>6ac33c1f-0b46-48e4-962c-84f70795816b</vt:lpwstr>
  </property>
  <property fmtid="{D5CDD505-2E9C-101B-9397-08002B2CF9AE}" pid="9" name="MSIP_Label_9194e219-2117-4cf2-ac13-de3be428a23a_Extended_MSFT_Method">
    <vt:lpwstr>Manual</vt:lpwstr>
  </property>
  <property fmtid="{D5CDD505-2E9C-101B-9397-08002B2CF9AE}" pid="10" name="Sensitivity">
    <vt:lpwstr>عام</vt:lpwstr>
  </property>
</Properties>
</file>