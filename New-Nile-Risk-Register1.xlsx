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ver Page" sheetId="1" state="visible" r:id="rId3"/>
    <sheet name="Data Validation" sheetId="2" state="hidden" r:id="rId4"/>
    <sheet name="Version control" sheetId="3" state="visible" r:id="rId5"/>
    <sheet name="Risk register legend" sheetId="4" state="visible" r:id="rId6"/>
    <sheet name="Risk register" sheetId="5" state="visible" r:id="rId7"/>
    <sheet name="Heat map" sheetId="6" state="visible" r:id="rId8"/>
    <sheet name="Overall risks" sheetId="7" state="visible" r:id="rId9"/>
    <sheet name="Summary of risks" sheetId="8" state="hidden" r:id="rId10"/>
  </sheets>
  <definedNames>
    <definedName function="false" hidden="false" name="AAL" vbProcedure="false">#REF!</definedName>
    <definedName function="false" hidden="false" name="ACC" vbProcedure="false">#REF!</definedName>
    <definedName function="false" hidden="false" name="ACR" vbProcedure="false">#REF!</definedName>
    <definedName function="false" hidden="false" name="ALG" vbProcedure="false">#REF!</definedName>
    <definedName function="false" hidden="false" name="ANT" vbProcedure="false">#REF!</definedName>
    <definedName function="false" hidden="false" name="ATC" vbProcedure="false">#REF!</definedName>
    <definedName function="false" hidden="false" name="ATT" vbProcedure="false">#REF!</definedName>
    <definedName function="false" hidden="false" name="AUU" vbProcedure="false">#REF!</definedName>
    <definedName function="false" hidden="false" name="b" vbProcedure="false">#REF!</definedName>
    <definedName function="false" hidden="false" name="bb" vbProcedure="false">#REF!</definedName>
    <definedName function="false" hidden="false" name="BCY" vbProcedure="false">#REF!</definedName>
    <definedName function="false" hidden="false" name="BDR" vbProcedure="false">#REF!</definedName>
    <definedName function="false" hidden="false" name="BNW" vbProcedure="false">#REF!</definedName>
    <definedName function="false" hidden="false" name="BscElective" vbProcedure="false">#REF!</definedName>
    <definedName function="false" hidden="false" name="BScMajor" vbProcedure="false">#REF!</definedName>
    <definedName function="false" hidden="false" name="BScTrack" vbProcedure="false">#REF!</definedName>
    <definedName function="false" hidden="false" name="BSc_Elective" vbProcedure="false">#REF!</definedName>
    <definedName function="false" hidden="false" name="BSP" vbProcedure="false">#REF!</definedName>
    <definedName function="false" hidden="false" name="CCO" vbProcedure="false">#REF!</definedName>
    <definedName function="false" hidden="false" name="CCR" vbProcedure="false">#REF!</definedName>
    <definedName function="false" hidden="false" name="CDP" vbProcedure="false">#REF!</definedName>
    <definedName function="false" hidden="false" name="Checkbox" vbProcedure="false">#REF!</definedName>
    <definedName function="false" hidden="false" name="CourseCodes" vbProcedure="false">#REF!</definedName>
    <definedName function="false" hidden="false" name="CPM" vbProcedure="false">#REF!</definedName>
    <definedName function="false" hidden="false" name="CPP" vbProcedure="false">#REF!</definedName>
    <definedName function="false" hidden="false" name="CSE" vbProcedure="false">#REF!</definedName>
    <definedName function="false" hidden="false" name="CSF" vbProcedure="false">#REF!</definedName>
    <definedName function="false" hidden="false" name="CTH" vbProcedure="false">#REF!</definedName>
    <definedName function="false" hidden="false" name="DAT" vbProcedure="false">#REF!</definedName>
    <definedName function="false" hidden="false" name="DBA" vbProcedure="false">#REF!</definedName>
    <definedName function="false" hidden="false" name="DCO" vbProcedure="false">#REF!</definedName>
    <definedName function="false" hidden="false" name="DDL" vbProcedure="false">#REF!</definedName>
    <definedName function="false" hidden="false" name="DFS" vbProcedure="false">#REF!</definedName>
    <definedName function="false" hidden="false" name="DIA" vbProcedure="false">#REF!</definedName>
    <definedName function="false" hidden="false" name="DiplomaIT" vbProcedure="false">#REF!</definedName>
    <definedName function="false" hidden="false" name="DiplomaNonIT" vbProcedure="false">#REF!</definedName>
    <definedName function="false" hidden="false" name="DLL" vbProcedure="false">#REF!</definedName>
    <definedName function="false" hidden="false" name="DMS" vbProcedure="false">#REF!</definedName>
    <definedName function="false" hidden="false" name="DSA" vbProcedure="false">#REF!</definedName>
    <definedName function="false" hidden="false" name="DST" vbProcedure="false">#REF!</definedName>
    <definedName function="false" hidden="false" name="DVF" vbProcedure="false">#REF!</definedName>
    <definedName function="false" hidden="false" name="ESI" vbProcedure="false">#REF!</definedName>
    <definedName function="false" hidden="false" name="FAC" vbProcedure="false">#REF!</definedName>
    <definedName function="false" hidden="false" name="FMD" vbProcedure="false">#REF!</definedName>
    <definedName function="false" hidden="false" name="FPM" vbProcedure="false">#REF!</definedName>
    <definedName function="false" hidden="false" name="GoToProgram" vbProcedure="false">#REF!</definedName>
    <definedName function="false" hidden="false" name="HAA" vbProcedure="false">#REF!</definedName>
    <definedName function="false" hidden="false" name="HFS" vbProcedure="false">#REF!</definedName>
    <definedName function="false" hidden="false" name="HOF" vbProcedure="false">#REF!</definedName>
    <definedName function="false" hidden="false" name="HOP" vbProcedure="false">#REF!</definedName>
    <definedName function="false" hidden="false" name="HRE" vbProcedure="false">#REF!</definedName>
    <definedName function="false" hidden="false" name="IAA" vbProcedure="false">#REF!</definedName>
    <definedName function="false" hidden="false" name="IAC" vbProcedure="false">#REF!</definedName>
    <definedName function="false" hidden="false" name="IAS" vbProcedure="false">#REF!</definedName>
    <definedName function="false" hidden="false" name="ICS" vbProcedure="false">#REF!</definedName>
    <definedName function="false" hidden="false" name="IDR" vbProcedure="false">#REF!</definedName>
    <definedName function="false" hidden="false" name="IDS" vbProcedure="false">#REF!</definedName>
    <definedName function="false" hidden="false" name="IMM" vbProcedure="false">#REF!</definedName>
    <definedName function="false" hidden="false" name="ISC" vbProcedure="false">#REF!</definedName>
    <definedName function="false" hidden="false" name="ISS" vbProcedure="false">#REF!</definedName>
    <definedName function="false" hidden="false" name="ITC" vbProcedure="false">#REF!</definedName>
    <definedName function="false" hidden="false" name="LCS" vbProcedure="false">#REF!</definedName>
    <definedName function="false" hidden="false" name="listIndex" vbProcedure="false">#REF!</definedName>
    <definedName function="false" hidden="false" name="ListOfPages" vbProcedure="false">#REF!</definedName>
    <definedName function="false" hidden="false" name="LLP" vbProcedure="false">#REF!</definedName>
    <definedName function="false" hidden="false" name="LSA" vbProcedure="false">#REF!</definedName>
    <definedName function="false" hidden="false" name="MEF" vbProcedure="false">#REF!</definedName>
    <definedName function="false" hidden="false" name="MLL" vbProcedure="false">#REF!</definedName>
    <definedName function="false" hidden="false" name="MOT" vbProcedure="false">#REF!</definedName>
    <definedName function="false" hidden="false" name="NDF" vbProcedure="false">#REF!</definedName>
    <definedName function="false" hidden="false" name="NSA" vbProcedure="false">#REF!</definedName>
    <definedName function="false" hidden="false" name="NTP" vbProcedure="false">#REF!</definedName>
    <definedName function="false" hidden="false" name="NWF" vbProcedure="false">#REF!</definedName>
    <definedName function="false" hidden="false" name="OSA" vbProcedure="false">#REF!</definedName>
    <definedName function="false" hidden="false" name="OSC" vbProcedure="false">#REF!</definedName>
    <definedName function="false" hidden="false" name="OSH" vbProcedure="false">#REF!</definedName>
    <definedName function="false" hidden="false" name="OST" vbProcedure="false">#REF!</definedName>
    <definedName function="false" hidden="false" name="PLE" vbProcedure="false">#REF!</definedName>
    <definedName function="false" hidden="false" name="PRI" vbProcedure="false">#REF!</definedName>
    <definedName function="false" hidden="false" name="PTT" vbProcedure="false">#REF!</definedName>
    <definedName function="false" hidden="false" name="QAT" vbProcedure="false">#REF!</definedName>
    <definedName function="false" hidden="false" name="Range" vbProcedure="false">#REF!</definedName>
    <definedName function="false" hidden="false" name="RFP" vbProcedure="false">#REF!</definedName>
    <definedName function="false" hidden="false" name="SAS" vbProcedure="false">#REF!</definedName>
    <definedName function="false" hidden="false" name="SCC" vbProcedure="false">#REF!</definedName>
    <definedName function="false" hidden="false" name="SCP" vbProcedure="false">#REF!</definedName>
    <definedName function="false" hidden="false" name="SCS" vbProcedure="false">#REF!</definedName>
    <definedName function="false" hidden="false" name="Select_an_elective_Unit" vbProcedure="false">#REF!</definedName>
    <definedName function="false" hidden="false" name="SPG" vbProcedure="false">#REF!</definedName>
    <definedName function="false" hidden="false" name="SPM" vbProcedure="false">#REF!</definedName>
    <definedName function="false" hidden="false" name="SPP" vbProcedure="false">#REF!</definedName>
    <definedName function="false" hidden="false" name="SRA" vbProcedure="false">#REF!</definedName>
    <definedName function="false" hidden="false" name="SRE" vbProcedure="false">#REF!</definedName>
    <definedName function="false" hidden="false" name="SSA" vbProcedure="false">#REF!</definedName>
    <definedName function="false" hidden="false" name="SSE" vbProcedure="false">#REF!</definedName>
    <definedName function="false" hidden="false" name="Type" vbProcedure="false">#REF!</definedName>
    <definedName function="false" hidden="false" name="VLA" vbProcedure="false">#REF!</definedName>
    <definedName function="false" hidden="false" name="VTT" vbProcedure="false">#REF!</definedName>
    <definedName function="false" hidden="false" name="WAS" vbProcedure="false">#REF!</definedName>
    <definedName function="false" hidden="false" name="WSA" vbProcedure="false">#REF!</definedName>
    <definedName function="false" hidden="false" name="WSN" vbProcedure="false">#REF!</definedName>
    <definedName function="false" hidden="false" localSheetId="0" name="AAL" vbProcedure="false">#REF!</definedName>
    <definedName function="false" hidden="false" localSheetId="0" name="ACC" vbProcedure="false">#REF!</definedName>
    <definedName function="false" hidden="false" localSheetId="0" name="ACR" vbProcedure="false">#REF!</definedName>
    <definedName function="false" hidden="false" localSheetId="0" name="ALG" vbProcedure="false">#REF!</definedName>
    <definedName function="false" hidden="false" localSheetId="0" name="ANT" vbProcedure="false">#REF!</definedName>
    <definedName function="false" hidden="false" localSheetId="0" name="ATC" vbProcedure="false">#REF!</definedName>
    <definedName function="false" hidden="false" localSheetId="0" name="ATT" vbProcedure="false">#REF!</definedName>
    <definedName function="false" hidden="false" localSheetId="0" name="AUU" vbProcedure="false">#REF!</definedName>
    <definedName function="false" hidden="false" localSheetId="0" name="b" vbProcedure="false">#REF!</definedName>
    <definedName function="false" hidden="false" localSheetId="0" name="bb" vbProcedure="false">#REF!</definedName>
    <definedName function="false" hidden="false" localSheetId="0" name="BCY" vbProcedure="false">#REF!</definedName>
    <definedName function="false" hidden="false" localSheetId="0" name="BDR" vbProcedure="false">#REF!</definedName>
    <definedName function="false" hidden="false" localSheetId="0" name="BNW" vbProcedure="false">#REF!</definedName>
    <definedName function="false" hidden="false" localSheetId="0" name="BscElective" vbProcedure="false">#REF!</definedName>
    <definedName function="false" hidden="false" localSheetId="0" name="BScMajor" vbProcedure="false">#REF!</definedName>
    <definedName function="false" hidden="false" localSheetId="0" name="BScTrack" vbProcedure="false">#REF!</definedName>
    <definedName function="false" hidden="false" localSheetId="0" name="BSc_Elective" vbProcedure="false">#REF!</definedName>
    <definedName function="false" hidden="false" localSheetId="0" name="BSP" vbProcedure="false">#REF!</definedName>
    <definedName function="false" hidden="false" localSheetId="0" name="CCO" vbProcedure="false">#REF!</definedName>
    <definedName function="false" hidden="false" localSheetId="0" name="CCR" vbProcedure="false">#REF!</definedName>
    <definedName function="false" hidden="false" localSheetId="0" name="CDP" vbProcedure="false">#REF!</definedName>
    <definedName function="false" hidden="false" localSheetId="0" name="CourseCodes" vbProcedure="false">#REF!</definedName>
    <definedName function="false" hidden="false" localSheetId="0" name="CPM" vbProcedure="false">#REF!</definedName>
    <definedName function="false" hidden="false" localSheetId="0" name="CPP" vbProcedure="false">#REF!</definedName>
    <definedName function="false" hidden="false" localSheetId="0" name="CSE" vbProcedure="false">#REF!</definedName>
    <definedName function="false" hidden="false" localSheetId="0" name="CSF" vbProcedure="false">#REF!</definedName>
    <definedName function="false" hidden="false" localSheetId="0" name="CTH" vbProcedure="false">#REF!</definedName>
    <definedName function="false" hidden="false" localSheetId="0" name="DAT" vbProcedure="false">#REF!</definedName>
    <definedName function="false" hidden="false" localSheetId="0" name="DBA" vbProcedure="false">#REF!</definedName>
    <definedName function="false" hidden="false" localSheetId="0" name="DCO" vbProcedure="false">#REF!</definedName>
    <definedName function="false" hidden="false" localSheetId="0" name="DDL" vbProcedure="false">#REF!</definedName>
    <definedName function="false" hidden="false" localSheetId="0" name="DFS" vbProcedure="false">#REF!</definedName>
    <definedName function="false" hidden="false" localSheetId="0" name="DIA" vbProcedure="false">#REF!</definedName>
    <definedName function="false" hidden="false" localSheetId="0" name="DiplomaIT" vbProcedure="false">#REF!</definedName>
    <definedName function="false" hidden="false" localSheetId="0" name="DiplomaNonIT" vbProcedure="false">#REF!</definedName>
    <definedName function="false" hidden="false" localSheetId="0" name="DLL" vbProcedure="false">#REF!</definedName>
    <definedName function="false" hidden="false" localSheetId="0" name="DMS" vbProcedure="false">#REF!</definedName>
    <definedName function="false" hidden="false" localSheetId="0" name="DSA" vbProcedure="false">#REF!</definedName>
    <definedName function="false" hidden="false" localSheetId="0" name="DST" vbProcedure="false">#REF!</definedName>
    <definedName function="false" hidden="false" localSheetId="0" name="DVF" vbProcedure="false">#REF!</definedName>
    <definedName function="false" hidden="false" localSheetId="0" name="ESI" vbProcedure="false">#REF!</definedName>
    <definedName function="false" hidden="false" localSheetId="0" name="FAC" vbProcedure="false">#REF!</definedName>
    <definedName function="false" hidden="false" localSheetId="0" name="FMD" vbProcedure="false">#REF!</definedName>
    <definedName function="false" hidden="false" localSheetId="0" name="FPM" vbProcedure="false">#REF!</definedName>
    <definedName function="false" hidden="false" localSheetId="0" name="GoToProgram" vbProcedure="false">#REF!</definedName>
    <definedName function="false" hidden="false" localSheetId="0" name="HAA" vbProcedure="false">#REF!</definedName>
    <definedName function="false" hidden="false" localSheetId="0" name="HFS" vbProcedure="false">#REF!</definedName>
    <definedName function="false" hidden="false" localSheetId="0" name="HOF" vbProcedure="false">#REF!</definedName>
    <definedName function="false" hidden="false" localSheetId="0" name="HOP" vbProcedure="false">#REF!</definedName>
    <definedName function="false" hidden="false" localSheetId="0" name="HRE" vbProcedure="false">#REF!</definedName>
    <definedName function="false" hidden="false" localSheetId="0" name="IAA" vbProcedure="false">#REF!</definedName>
    <definedName function="false" hidden="false" localSheetId="0" name="IAC" vbProcedure="false">#REF!</definedName>
    <definedName function="false" hidden="false" localSheetId="0" name="IAS" vbProcedure="false">#REF!</definedName>
    <definedName function="false" hidden="false" localSheetId="0" name="ICS" vbProcedure="false">#REF!</definedName>
    <definedName function="false" hidden="false" localSheetId="0" name="IDR" vbProcedure="false">#REF!</definedName>
    <definedName function="false" hidden="false" localSheetId="0" name="IDS" vbProcedure="false">#REF!</definedName>
    <definedName function="false" hidden="false" localSheetId="0" name="IMM" vbProcedure="false">#REF!</definedName>
    <definedName function="false" hidden="false" localSheetId="0" name="ISC" vbProcedure="false">#REF!</definedName>
    <definedName function="false" hidden="false" localSheetId="0" name="ISS" vbProcedure="false">#REF!</definedName>
    <definedName function="false" hidden="false" localSheetId="0" name="ITC" vbProcedure="false">#REF!</definedName>
    <definedName function="false" hidden="false" localSheetId="0" name="LCS" vbProcedure="false">#REF!</definedName>
    <definedName function="false" hidden="false" localSheetId="0" name="listIndex" vbProcedure="false">#REF!</definedName>
    <definedName function="false" hidden="false" localSheetId="0" name="ListOfPages" vbProcedure="false">#REF!</definedName>
    <definedName function="false" hidden="false" localSheetId="0" name="LLP" vbProcedure="false">#REF!</definedName>
    <definedName function="false" hidden="false" localSheetId="0" name="LSA" vbProcedure="false">#REF!</definedName>
    <definedName function="false" hidden="false" localSheetId="0" name="MEF" vbProcedure="false">#REF!</definedName>
    <definedName function="false" hidden="false" localSheetId="0" name="MLL" vbProcedure="false">#REF!</definedName>
    <definedName function="false" hidden="false" localSheetId="0" name="MOT" vbProcedure="false">#REF!</definedName>
    <definedName function="false" hidden="false" localSheetId="0" name="NDF" vbProcedure="false">#REF!</definedName>
    <definedName function="false" hidden="false" localSheetId="0" name="NSA" vbProcedure="false">#REF!</definedName>
    <definedName function="false" hidden="false" localSheetId="0" name="NTP" vbProcedure="false">#REF!</definedName>
    <definedName function="false" hidden="false" localSheetId="0" name="NWF" vbProcedure="false">#REF!</definedName>
    <definedName function="false" hidden="false" localSheetId="0" name="OSA" vbProcedure="false">#REF!</definedName>
    <definedName function="false" hidden="false" localSheetId="0" name="OSC" vbProcedure="false">#REF!</definedName>
    <definedName function="false" hidden="false" localSheetId="0" name="OSH" vbProcedure="false">#REF!</definedName>
    <definedName function="false" hidden="false" localSheetId="0" name="OST" vbProcedure="false">#REF!</definedName>
    <definedName function="false" hidden="false" localSheetId="0" name="PLE" vbProcedure="false">#REF!</definedName>
    <definedName function="false" hidden="false" localSheetId="0" name="PRI" vbProcedure="false">#REF!</definedName>
    <definedName function="false" hidden="false" localSheetId="0" name="PTT" vbProcedure="false">#REF!</definedName>
    <definedName function="false" hidden="false" localSheetId="0" name="QAT" vbProcedure="false">#REF!</definedName>
    <definedName function="false" hidden="false" localSheetId="0" name="Range" vbProcedure="false">#REF!</definedName>
    <definedName function="false" hidden="false" localSheetId="0" name="RFP" vbProcedure="false">#REF!</definedName>
    <definedName function="false" hidden="false" localSheetId="0" name="SAS" vbProcedure="false">#REF!</definedName>
    <definedName function="false" hidden="false" localSheetId="0" name="SCC" vbProcedure="false">#REF!</definedName>
    <definedName function="false" hidden="false" localSheetId="0" name="SCP" vbProcedure="false">#REF!</definedName>
    <definedName function="false" hidden="false" localSheetId="0" name="SCS" vbProcedure="false">#REF!</definedName>
    <definedName function="false" hidden="false" localSheetId="0" name="Select_an_elective_Unit" vbProcedure="false">#REF!</definedName>
    <definedName function="false" hidden="false" localSheetId="0" name="SPG" vbProcedure="false">#REF!</definedName>
    <definedName function="false" hidden="false" localSheetId="0" name="SPM" vbProcedure="false">#REF!</definedName>
    <definedName function="false" hidden="false" localSheetId="0" name="SPP" vbProcedure="false">#REF!</definedName>
    <definedName function="false" hidden="false" localSheetId="0" name="SRA" vbProcedure="false">#REF!</definedName>
    <definedName function="false" hidden="false" localSheetId="0" name="SRE" vbProcedure="false">#REF!</definedName>
    <definedName function="false" hidden="false" localSheetId="0" name="SSA" vbProcedure="false">#REF!</definedName>
    <definedName function="false" hidden="false" localSheetId="0" name="SSE" vbProcedure="false">#REF!</definedName>
    <definedName function="false" hidden="false" localSheetId="0" name="Type" vbProcedure="false">#REF!</definedName>
    <definedName function="false" hidden="false" localSheetId="0" name="VLA" vbProcedure="false">#REF!</definedName>
    <definedName function="false" hidden="false" localSheetId="0" name="VTT" vbProcedure="false">#REF!</definedName>
    <definedName function="false" hidden="false" localSheetId="0" name="WAS" vbProcedure="false">#REF!</definedName>
    <definedName function="false" hidden="false" localSheetId="0" name="WSA" vbProcedure="false">#REF!</definedName>
    <definedName function="false" hidden="false" localSheetId="0" name="WSN"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<sst xmlns="http://schemas.openxmlformats.org/spreadsheetml/2006/main" count="381" uniqueCount="232">
  <si>
    <t xml:space="preserve">Cybersecurity Risk Register</t>
  </si>
  <si>
    <t xml:space="preserve">New Nile Bank</t>
  </si>
  <si>
    <t xml:space="preserve">Classification:</t>
  </si>
  <si>
    <t xml:space="preserve">Confidential</t>
  </si>
  <si>
    <t xml:space="preserve">Version:</t>
  </si>
  <si>
    <t xml:space="preserve">1.0</t>
  </si>
  <si>
    <t xml:space="preserve">Date:</t>
  </si>
  <si>
    <t xml:space="preserve">Please select a scope of risk</t>
  </si>
  <si>
    <t xml:space="preserve">Please select a risk treatment</t>
  </si>
  <si>
    <t xml:space="preserve">Choose Classification</t>
  </si>
  <si>
    <t xml:space="preserve">Please select overall inherent risk rating</t>
  </si>
  <si>
    <t xml:space="preserve">Please select a threat</t>
  </si>
  <si>
    <t xml:space="preserve">IT assets</t>
  </si>
  <si>
    <t xml:space="preserve">Risk Mitigation</t>
  </si>
  <si>
    <t xml:space="preserve">Top Secret</t>
  </si>
  <si>
    <t xml:space="preserve">Critical</t>
  </si>
  <si>
    <t xml:space="preserve">Credential compromise</t>
  </si>
  <si>
    <t xml:space="preserve">Business process</t>
  </si>
  <si>
    <t xml:space="preserve">Risk Avoidance</t>
  </si>
  <si>
    <t xml:space="preserve">Secret</t>
  </si>
  <si>
    <t xml:space="preserve">High</t>
  </si>
  <si>
    <t xml:space="preserve">Insider threats</t>
  </si>
  <si>
    <t xml:space="preserve">Personnel</t>
  </si>
  <si>
    <t xml:space="preserve">Risk Transfer</t>
  </si>
  <si>
    <t xml:space="preserve">Medium</t>
  </si>
  <si>
    <t xml:space="preserve">Asset compromise</t>
  </si>
  <si>
    <t xml:space="preserve">Risk Acceptance</t>
  </si>
  <si>
    <t xml:space="preserve">Public</t>
  </si>
  <si>
    <t xml:space="preserve">Low</t>
  </si>
  <si>
    <t xml:space="preserve">Social engineering</t>
  </si>
  <si>
    <t xml:space="preserve">Very Low</t>
  </si>
  <si>
    <t xml:space="preserve">Data breach/leakage</t>
  </si>
  <si>
    <t xml:space="preserve">N/A</t>
  </si>
  <si>
    <t xml:space="preserve">Loss of business continuity</t>
  </si>
  <si>
    <t xml:space="preserve">Data loss</t>
  </si>
  <si>
    <t xml:space="preserve">Mistaking compliance for protection</t>
  </si>
  <si>
    <t xml:space="preserve">Regulatory fines</t>
  </si>
  <si>
    <t xml:space="preserve">Outdated hardware</t>
  </si>
  <si>
    <t xml:space="preserve">Vulnerable software</t>
  </si>
  <si>
    <t xml:space="preserve">Cloud vulnerabilities</t>
  </si>
  <si>
    <t xml:space="preserve">Ransomware</t>
  </si>
  <si>
    <t xml:space="preserve">Malware</t>
  </si>
  <si>
    <t xml:space="preserve">Attacks on IoT devices</t>
  </si>
  <si>
    <t xml:space="preserve">Operational downtime</t>
  </si>
  <si>
    <t xml:space="preserve">DDoS</t>
  </si>
  <si>
    <t xml:space="preserve">Underestimation of risk occurrence probability</t>
  </si>
  <si>
    <t xml:space="preserve">Partial risk assessment</t>
  </si>
  <si>
    <t xml:space="preserve">Improper risk management</t>
  </si>
  <si>
    <t xml:space="preserve">Improper incident response</t>
  </si>
  <si>
    <t xml:space="preserve">Third party exposure</t>
  </si>
  <si>
    <t xml:space="preserve">Document Control</t>
  </si>
  <si>
    <t xml:space="preserve">Classification</t>
  </si>
  <si>
    <t xml:space="preserve">Version control</t>
  </si>
  <si>
    <t xml:space="preserve">Version</t>
  </si>
  <si>
    <t xml:space="preserve">Date</t>
  </si>
  <si>
    <t xml:space="preserve">Updated By</t>
  </si>
  <si>
    <t xml:space="preserve">Version Details</t>
  </si>
  <si>
    <t xml:space="preserve">Samara Risha</t>
  </si>
  <si>
    <t xml:space="preserve">First version of the Risk assessment</t>
  </si>
  <si>
    <t xml:space="preserve">Legend</t>
  </si>
  <si>
    <t xml:space="preserve">Column name</t>
  </si>
  <si>
    <t xml:space="preserve">Description</t>
  </si>
  <si>
    <t xml:space="preserve">Risk identifier</t>
  </si>
  <si>
    <t xml:space="preserve">Unique number assigned to Risk</t>
  </si>
  <si>
    <t xml:space="preserve">Risk area (scope of risk)</t>
  </si>
  <si>
    <t xml:space="preserve">Area in which the risk was identified</t>
  </si>
  <si>
    <t xml:space="preserve">Risk owner</t>
  </si>
  <si>
    <t xml:space="preserve">Head of organization or asset and process owner for which a risk was identified</t>
  </si>
  <si>
    <t xml:space="preserve">Date of risk identification</t>
  </si>
  <si>
    <t xml:space="preserve">Description of the risk</t>
  </si>
  <si>
    <t xml:space="preserve">Risk description</t>
  </si>
  <si>
    <t xml:space="preserve">Risk cause</t>
  </si>
  <si>
    <t xml:space="preserve">Description of the cause of the inherent risk</t>
  </si>
  <si>
    <t xml:space="preserve">Threat</t>
  </si>
  <si>
    <t xml:space="preserve">Description of the threat arising from the risk</t>
  </si>
  <si>
    <t xml:space="preserve">Risk analysis and consequences</t>
  </si>
  <si>
    <t xml:space="preserve">Description of the possible consequences of the risk and information about the timescale in which they can happen.</t>
  </si>
  <si>
    <t xml:space="preserve">Date of risk analysis and evaluation</t>
  </si>
  <si>
    <t xml:space="preserve">Last date when risk has been identified and assessed</t>
  </si>
  <si>
    <t xml:space="preserve">Inherent risk likelihood (1-5)</t>
  </si>
  <si>
    <t xml:space="preserve">Quantitative evaluation of the inherent risk likelihood</t>
  </si>
  <si>
    <t xml:space="preserve">Inherent risk magnitude/impact (1-5)</t>
  </si>
  <si>
    <t xml:space="preserve">Quantitative evaluation of the inherent risk magnitude/impact</t>
  </si>
  <si>
    <t xml:space="preserve">Overall inherent risk rating</t>
  </si>
  <si>
    <t xml:space="preserve">Overall evaluation of the inherent risk (calculated automatically)</t>
  </si>
  <si>
    <t xml:space="preserve">Is the overall inherent risk rated OK? If not please provide a reason</t>
  </si>
  <si>
    <t xml:space="preserve">Information whether the risk owner accepts the risk evaluation or not and reason description in case of a mismatch</t>
  </si>
  <si>
    <t xml:space="preserve">Updated overall inherent risk rating (manual override)</t>
  </si>
  <si>
    <t xml:space="preserve">Overall evaluation of inherent risk and need for treatment actions provided manually by the risk owner in case of a mismatch</t>
  </si>
  <si>
    <t xml:space="preserve">Type of treatment action</t>
  </si>
  <si>
    <t xml:space="preserve">Type of treatment action chosen for the risk</t>
  </si>
  <si>
    <t xml:space="preserve">Risk treatment description</t>
  </si>
  <si>
    <t xml:space="preserve">Description of treatment actions which will be taken</t>
  </si>
  <si>
    <t xml:space="preserve">Owner of the treatment action</t>
  </si>
  <si>
    <t xml:space="preserve">Person responsible for implementing and monitoring of the treatment action</t>
  </si>
  <si>
    <t xml:space="preserve">Deadline for action</t>
  </si>
  <si>
    <t xml:space="preserve">Deadline for implementing the treatment action</t>
  </si>
  <si>
    <t xml:space="preserve">Residual risk description</t>
  </si>
  <si>
    <t xml:space="preserve">Residual risk likelihood (1-5)</t>
  </si>
  <si>
    <t xml:space="preserve">Quantitative evaluation of the residual risk likelihood</t>
  </si>
  <si>
    <t xml:space="preserve">Residual risk magnitude/impact (1-5)</t>
  </si>
  <si>
    <t xml:space="preserve">Quantitative evaluation of the residual risk magnitude/impact</t>
  </si>
  <si>
    <t xml:space="preserve">Overall residual risk rating</t>
  </si>
  <si>
    <t xml:space="preserve">Overall evaluation of the residual risk (calculated automatically)</t>
  </si>
  <si>
    <t xml:space="preserve">Following steps description</t>
  </si>
  <si>
    <t xml:space="preserve">Description of the steps which will follow implementation of the treatment action</t>
  </si>
  <si>
    <t xml:space="preserve">Last evaluation date</t>
  </si>
  <si>
    <t xml:space="preserve">Date of last evaluation of the residual risk</t>
  </si>
  <si>
    <t xml:space="preserve">Comment</t>
  </si>
  <si>
    <t xml:space="preserve">Place for any additional related comments (for example description of relation between different risks)</t>
  </si>
  <si>
    <t xml:space="preserve">Risk register</t>
  </si>
  <si>
    <t xml:space="preserve">Overall residaul risk rating</t>
  </si>
  <si>
    <t xml:space="preserve">Ibrahim Gamal</t>
  </si>
  <si>
    <t xml:space="preserve">Finanicial Loss    unauthorized transactions</t>
  </si>
  <si>
    <t xml:space="preserve">Lack of input validation/sanitization in OFS messages</t>
  </si>
  <si>
    <t xml:space="preserve">Injecting crafted OFS requests to bypass validation and perform unauthorized transfers</t>
  </si>
  <si>
    <t xml:space="preserve">The risk will be mitigated by implementing strict input validation on OFS messages, enforcing strong authentication and authorization controls, restricting access to OFS interfaces, and enabling continuous monitoring and logging of transactions.”</t>
  </si>
  <si>
    <t xml:space="preserve">Sara Asharaf Ibrahim Gamal  </t>
  </si>
  <si>
    <t xml:space="preserve">There will still be  risk and the Temons team must provide a comeplete mitigation for it </t>
  </si>
  <si>
    <t xml:space="preserve">Monitor implementation of the controls and residual risk</t>
  </si>
  <si>
    <t xml:space="preserve">Data breaches (customer/account data exposure)</t>
  </si>
  <si>
    <t xml:space="preserve">The Customer data will be exposed leading to reputaional damage</t>
  </si>
  <si>
    <t xml:space="preserve">critical</t>
  </si>
  <si>
    <t xml:space="preserve">23/02/2025</t>
  </si>
  <si>
    <t xml:space="preserve">
.</t>
  </si>
  <si>
    <t xml:space="preserve">Regulatory penalties</t>
  </si>
  <si>
    <t xml:space="preserve">Non Compliant with CBE - PCI</t>
  </si>
  <si>
    <t xml:space="preserve">Fines will be applied if the risk is mitigated </t>
  </si>
  <si>
    <t xml:space="preserve">Sara Asharaf Ibrahim Gamal</t>
  </si>
  <si>
    <t xml:space="preserve">Unauthirzed administrative access </t>
  </si>
  <si>
    <t xml:space="preserve">Reflected XSS attackers can use to steel session tokens from the embloyees in the browser of T24 </t>
  </si>
  <si>
    <t xml:space="preserve">Vulnarabile Sosfrware</t>
  </si>
  <si>
    <t xml:space="preserve">Stealing the session cookies from the embloyees can lead to unauthirzed administrative access </t>
  </si>
  <si>
    <t xml:space="preserve">apply the Input Validation untill we can Installing the latest updates and patches of T24</t>
  </si>
  <si>
    <t xml:space="preserve">Ibrahim Gamal Samara Risha</t>
  </si>
  <si>
    <t xml:space="preserve">The inpult validation can reduce the risk but still won't be affective until we install the latest updated version </t>
  </si>
  <si>
    <t xml:space="preserve">medium</t>
  </si>
  <si>
    <t xml:space="preserve">Monitor implementation of the controls and residual risk and installing the updates</t>
  </si>
  <si>
    <t xml:space="preserve">Hossam Badr</t>
  </si>
  <si>
    <t xml:space="preserve">Unzuthirzed access to the DB </t>
  </si>
  <si>
    <t xml:space="preserve">Overpriveliged users </t>
  </si>
  <si>
    <t xml:space="preserve">Insider threat</t>
  </si>
  <si>
    <t xml:space="preserve">Some users with lower privilges usually get higher priviliges </t>
  </si>
  <si>
    <t xml:space="preserve">We should apply the Least privilage principle and applying the permission approval policy when giving user's higher priviliges </t>
  </si>
  <si>
    <t xml:space="preserve">Hossam Badr Mohamed Rgab </t>
  </si>
  <si>
    <t xml:space="preserve">14/3/2025</t>
  </si>
  <si>
    <t xml:space="preserve">When applying the the principle and the policy , it will reduce the risk and nearly eliminate it </t>
  </si>
  <si>
    <t xml:space="preserve">Very low</t>
  </si>
  <si>
    <t xml:space="preserve">Implementing the the controls mentioned in the risk treatment document</t>
  </si>
  <si>
    <t xml:space="preserve">15/3/2026</t>
  </si>
  <si>
    <t xml:space="preserve">Amira Zaki</t>
  </si>
  <si>
    <t xml:space="preserve">20/7/2025</t>
  </si>
  <si>
    <t xml:space="preserve">Data theft / Unzuthrized access / Creidentials theft</t>
  </si>
  <si>
    <t xml:space="preserve">Lack of Awareness , Email gateway can't fully detect phising emails </t>
  </si>
  <si>
    <t xml:space="preserve">APT planning to start a phising campagin , sending mailcous emails to the customers </t>
  </si>
  <si>
    <t xml:space="preserve">Successful attempts can lead to the employees crediential theft or data leakge or downloading mailcous files that will harm the system </t>
  </si>
  <si>
    <t xml:space="preserve">21/7/2025</t>
  </si>
  <si>
    <t xml:space="preserve">Conducting awareness sessions to the employees</t>
  </si>
  <si>
    <t xml:space="preserve">Amira Zaki Samara Risha </t>
  </si>
  <si>
    <t xml:space="preserve">30./8/2025</t>
  </si>
  <si>
    <t xml:space="preserve">sending the employees warning through their emails about the phishing campaings until we start conducting the awareness </t>
  </si>
  <si>
    <t xml:space="preserve">Start conducting the awareness sessions </t>
  </si>
  <si>
    <t xml:space="preserve">24/7/2025</t>
  </si>
  <si>
    <t xml:space="preserve">Nour Eldin</t>
  </si>
  <si>
    <t xml:space="preserve">ATM Network – 18 ATMs running Windows 10 IoT End-of-Life OS. No security patches available.</t>
  </si>
  <si>
    <t xml:space="preserve">Ne Security Patches Avilable</t>
  </si>
  <si>
    <t xml:space="preserve">Any undiscovered Vulnrababilites can be exploited </t>
  </si>
  <si>
    <t xml:space="preserve">26/10/2026</t>
  </si>
  <si>
    <t xml:space="preserve">It won't work that much cuz we still need the updates</t>
  </si>
  <si>
    <t xml:space="preserve">Installing the updates</t>
  </si>
  <si>
    <t xml:space="preserve">15/8/2026</t>
  </si>
  <si>
    <t xml:space="preserve">Nader Saleh</t>
  </si>
  <si>
    <t xml:space="preserve">20/8/2026</t>
  </si>
  <si>
    <t xml:space="preserve">There is a risk that an attacker will exploit the pinning bypass vulnerability during a MITM attack.</t>
  </si>
  <si>
    <t xml:space="preserve">\Certificate Pinning Bypass (The app fails to strictly validate the server’s unique identity, or the pinning mechanism is easily disabled by tools like Frida</t>
  </si>
  <si>
    <t xml:space="preserve">APTs and Skilled threat actors can bybasse the certificates of the users</t>
  </si>
  <si>
    <t xml:space="preserve">This would result in the exposure of sensitive Cardholder Data (CHD) and Authentication Credentials in plain text.</t>
  </si>
  <si>
    <t xml:space="preserve">21/82026</t>
  </si>
  <si>
    <t xml:space="preserve">Development team to implement strict certificate pinning in next mobile app release (v3.2).</t>
  </si>
  <si>
    <t xml:space="preserve">30/8/2026</t>
  </si>
  <si>
    <t xml:space="preserve">25/8/2026</t>
  </si>
  <si>
    <t xml:space="preserve">Nour El-Din</t>
  </si>
  <si>
    <t xml:space="preserve">SWIFT Fraud / BEC Wire Transfer — Fraudulent MT103 messages via compromised SWIFT operator credentials</t>
  </si>
  <si>
    <t xml:space="preserve">Spear-phishing targeting SWIFT operations staff; weak MFA on SWIFT Alliance Gateway (SAG); HSM credentials at risk from APT38/Lazarus Group TTPs</t>
  </si>
  <si>
    <t xml:space="preserve">Threat actor (APT38/Lazarus Group pattern) compromises SWIFT operator credentials and initiates fraudulent FIN MT103 wire transfer messages. Financial loss potentially hundreds of millions EGP. CBE mandatory 24-hour incident notification triggered. Reference: Bangladesh Bank 2016 — USD 81M lost via identical SWIFT fraud pattern.</t>
  </si>
  <si>
    <t xml:space="preserve">1) Enforce MFA on all SAG console and SWIFT operator accounts immediately
2) Implement SWIFT CSCF v2024 mandatory controls — payment transaction signing and anomaly detection
3) Deploy out-of-band payment confirmation for all transactions above EGP 500,000
4) Rotate all SAG credentials and HSM PINs quarterly
5) Integrate SAG logs into MS Sentinel with real-time alerting
6) Develop and test SWIFT BEC incident response playbook via annual tabletop exercise</t>
  </si>
  <si>
    <t xml:space="preserve">Nour El-Din / Mohamed Ragab / Layla Farouk</t>
  </si>
  <si>
    <t xml:space="preserve">After MFA enforcement, SWIFT CSP controls and Sentinel integration — residual risk reduced. Out-of-band confirmation limits blast radius. APT-level threat means residual risk remains elevated.</t>
  </si>
  <si>
    <t xml:space="preserve">Quarterly SWIFT CSP compliance check. Annual SWIFT-specific penetration test. Test SWIFT BEC IR playbook annually.</t>
  </si>
  <si>
    <t xml:space="preserve">CRITICAL — APT38/Lazarus Group confirmed active in MENA banking sector. Immediate MFA enforcement required.</t>
  </si>
  <si>
    <t xml:space="preserve">Ransomware Attack — T24 CBS and Oracle GL encryption via phishing-to-AD lateral movement</t>
  </si>
  <si>
    <t xml:space="preserve">Phishing email to NCB staff leads to AD compromise (14 dormant admin accounts open finding), lateral movement to T24 CBS and Oracle Flexcube GL, ransomware deployment disabling EOD batch processing</t>
  </si>
  <si>
    <t xml:space="preserve">Regional cybercrime group (RaaS model) deploys ransomware across core banking zone after lateral movement through compromised AD accounts. T24 CBS and Oracle GL encrypted — all 2.3M daily transactions halted. CBE emergency notification within 24 hours required. Recovery estimated 72+ hours without tested backups.</t>
  </si>
  <si>
    <t xml:space="preserve">1) Immediately disable 14 dormant AD admin accounts (open finding — highest priority)
2) Implement network segmentation isolating CBS/GL VLAN from AD management plane
3) Deploy EDR (Defender for Endpoint) on all T24 and Oracle GL servers
4) Test backup restoration for T24 CBS and Oracle GL — verify RTO under 4 hours
5) Implement Privileged Access Workstations (PAW) for CBS admin access
6) Enable Sentinel ransomware detection rules (file encryption patterns, shadow copy deletion alerts)
7) Quarterly phishing simulation targeting IT and admin staff</t>
  </si>
  <si>
    <t xml:space="preserve">Ibrahim Gamal / Mohamed Ragab / Hossam Badr</t>
  </si>
  <si>
    <t xml:space="preserve">After AD hardening, EDR and network segmentation — risk reduced significantly. Tested backups ensure RTO compliance. Residual threat from zero-day delivery vectors remains.</t>
  </si>
  <si>
    <t xml:space="preserve">Monthly backup restoration tests. Quarterly AD privileged account review. Annual ransomware tabletop exercise.</t>
  </si>
  <si>
    <t xml:space="preserve">CRITICAL — 14 dormant admin accounts are a direct enabler for this scenario. Must be closed immediately.</t>
  </si>
  <si>
    <t xml:space="preserve">Mohamed Ragab</t>
  </si>
  <si>
    <t xml:space="preserve">Mobile Banking Account Takeover (ATO) — SIM swap or stolen OTP targeting 680,000 app users</t>
  </si>
  <si>
    <t xml:space="preserve">Certificate pinning bypass vulnerability (confirmed CyberShield LLC pentest finding) enables MITM attacks; SIM swap fraud intercepts OTPs; credential stuffing from leaked databases targeting 680K active mobile users on AWS-hosted app</t>
  </si>
  <si>
    <t xml:space="preserve">Opportunistic fraudsters exploit certificate pinning bypass to perform man-in-the-middle attacks, or use SIM swap to intercept customer OTPs. Large-scale ATO campaign could affect thousands of retail customers. Egypt Law No. 151/2020 requires 72-hour data breach notification to ITIDA if PII is exposed.</t>
  </si>
  <si>
    <t xml:space="preserve">1) Fix certificate pinning bypass in mobile app v3.2 — immediate action (confirmed open pentest finding)
2) Implement device binding and device fingerprinting on mobile app login
3) Enable velocity checks — lock account after more than 3 failed OTP attempts
4) Deploy Actimize fraud detection rules for unusual transaction patterns post-login
5) Partner with Egyptian telcos for SIM swap notification API integration
6) Implement FIDO2/biometric authentication as OTP alternative for high-risk transactions</t>
  </si>
  <si>
    <t xml:space="preserve">Nader Saleh / Mohamed Ragab / Amira Zaki</t>
  </si>
  <si>
    <t xml:space="preserve">After certificate pinning fix and device binding — MITM vector closed. SIM swap residual risk remains, dependent on telco controls. Actimize fraud detection limits financial exposure per incident.</t>
  </si>
  <si>
    <t xml:space="preserve">Monthly Actimize ATO alert review. Re-test mobile app cert pinning post-fix. Track fraud complaint volumes monthly.</t>
  </si>
  <si>
    <t xml:space="preserve">HIGH — Certificate pinning bypass is a confirmed open pentest finding from CyberShield LLC. App patch is urgent.</t>
  </si>
  <si>
    <t xml:space="preserve">Sara Ashraf</t>
  </si>
  <si>
    <t xml:space="preserve">Insider Threat — Privileged DBA exports 1.4M customer PII records to external party</t>
  </si>
  <si>
    <t xml:space="preserve">DBA or CBS admin with elevated Oracle RAC access performs unauthorised bulk data export. Motivated by financial incentive from organised crime or competitor. Enabled by lack of Oracle audit vault and insufficient user behaviour analytics (UBA) in Sentinel.</t>
  </si>
  <si>
    <t xml:space="preserve">Malicious insider with DBA-level access to Oracle RAC (1.4M PII records) performs unauthorised bulk export. Data sold to criminal organisation or competitor. Consequences: Egypt Law No. 151/2020 breach notification within 72 hours, CBE regulatory fine, severe reputational damage. GDPR notification may be required for EU correspondent bank customers.</t>
  </si>
  <si>
    <t xml:space="preserve">1) Enable Oracle Audit Vault — log and alert on all bulk SELECT queries against customer PII tables
2) Implement Sentinel UBA rules — alert on queries returning over 1,000 rows outside business hours
3) Enforce data masking on all non-production Oracle environments (Oracle Data Masking)
4) Implement 4-eyes approval principle for DBA access to production PII tables
5) Annual background re-vetting for all privileged users
6) Deploy DLP solution to detect and block bulk data exports via email, USB, or cloud upload</t>
  </si>
  <si>
    <t xml:space="preserve">Amira Zaki / Sara Ashraf / Mohamed Ragab</t>
  </si>
  <si>
    <t xml:space="preserve">After Oracle Audit Vault and UBA deployment — detection capability significantly improved. DLP reduces exfiltration vectors. Residual risk of highly motivated insider with legitimate access remains.</t>
  </si>
  <si>
    <t xml:space="preserve">Monthly review of DB audit logs by CISO. Quarterly privileged access review. Annual insider threat awareness training.</t>
  </si>
  <si>
    <t xml:space="preserve">HIGH — 1.4M customer PII records in Oracle RAC. Egypt Law 151/2020 mandates breach notification within 72 hours.</t>
  </si>
  <si>
    <t xml:space="preserve">ATM Jackpotting / Skimming — Physical or logical attack on 312-ATM estate via EOL OS or vendor channel</t>
  </si>
  <si>
    <t xml:space="preserve">18 ATMs running EOL Windows 10 IoT with no available security patches (confirmed open finding); black-box USB jackpotting attack on ATM dispensers; card skimming device installation; remote attack via Diebold Nixdorf vendor diagnostic channel</t>
  </si>
  <si>
    <t xml:space="preserve">Criminal group installs skimming devices or performs logical jackpotting on EOL OS ATMs. Financial loss per jackpotting event: EGP 200,000–500,000. Card data theft enables fraud across the 312-ATM estate. 18 EOL ATMs represent highest risk as no security patches are available.</t>
  </si>
  <si>
    <t xml:space="preserve">1) Immediately isolate 18 EOL ATMs in a dedicated VLAN with restricted network access
2) Initiate Diebold Nixdorf OS upgrade programme for all EOL ATMs — target completion Q3 2026
3) Implement application whitelisting on all 312 ATM hosts (XFS standard)
4) Monthly physical anti-skimming inspection for all 312 ATMs — document findings
5) Deploy ATM-specific Sentinel IDS rules for abnormal cash dispense patterns
6) Restrict Diebold Nixdorf remote diagnostic access — require NCB SOC approval per session</t>
  </si>
  <si>
    <t xml:space="preserve">Nour El-Din / Hossam Badr / Mohamed Ragab</t>
  </si>
  <si>
    <t xml:space="preserve">After EOL ATM isolation and OS upgrade programme — jackpotting risk on EOL devices contained. Physical skimming residual risk remains — mitigated by monthly inspections and encrypted PIN pads on all ATMs.</t>
  </si>
  <si>
    <t xml:space="preserve">Monthly ATM physical inspection reports to CISO. Quarterly EOL ATM upgrade progress tracking. Annual ATM penetration test.</t>
  </si>
  <si>
    <t xml:space="preserve">MEDIUM — 18 EOL ATMs are confirmed open finding. OS upgrade programme tracking is mandatory.</t>
  </si>
  <si>
    <t xml:space="preserve">
.+26:29</t>
  </si>
  <si>
    <t xml:space="preserve">Inherent risk register heat map</t>
  </si>
  <si>
    <t xml:space="preserve">Residual risk register heat map</t>
  </si>
  <si>
    <t xml:space="preserve">Risk impact</t>
  </si>
  <si>
    <t xml:space="preserve">Risk likelihood</t>
  </si>
  <si>
    <t xml:space="preserve"> </t>
  </si>
  <si>
    <t xml:space="preserve">Inherent risk</t>
  </si>
  <si>
    <t xml:space="preserve">Residual risk</t>
  </si>
</sst>
</file>

<file path=xl/styles.xml><?xml version="1.0" encoding="utf-8"?>
<styleSheet xmlns="http://schemas.openxmlformats.org/spreadsheetml/2006/main">
  <numFmts count="9">
    <numFmt numFmtId="164" formatCode="General"/>
    <numFmt numFmtId="165" formatCode="0.0"/>
    <numFmt numFmtId="166" formatCode="dd/mm/yyyy;@"/>
    <numFmt numFmtId="167" formatCode="@"/>
    <numFmt numFmtId="168" formatCode="h:mm"/>
    <numFmt numFmtId="169" formatCode="m/d/yyyy"/>
    <numFmt numFmtId="170" formatCode="d\-mmm"/>
    <numFmt numFmtId="171" formatCode="dd/mm/yyyy"/>
    <numFmt numFmtId="172" formatCode="General"/>
  </numFmts>
  <fonts count="27">
    <font>
      <sz val="11"/>
      <color theme="1"/>
      <name val="Calibri"/>
      <family val="0"/>
      <charset val="1"/>
    </font>
    <font>
      <sz val="10"/>
      <name val="Arial"/>
      <family val="0"/>
    </font>
    <font>
      <sz val="10"/>
      <name val="Arial"/>
      <family val="0"/>
    </font>
    <font>
      <sz val="10"/>
      <name val="Arial"/>
      <family val="0"/>
    </font>
    <font>
      <sz val="11"/>
      <color theme="1"/>
      <name val="Arial"/>
      <family val="2"/>
      <charset val="238"/>
    </font>
    <font>
      <sz val="11"/>
      <color rgb="FFFF0000"/>
      <name val="Arial"/>
      <family val="2"/>
      <charset val="238"/>
    </font>
    <font>
      <sz val="31"/>
      <color rgb="FF2B3B82"/>
      <name val="Arial"/>
      <family val="2"/>
      <charset val="238"/>
    </font>
    <font>
      <sz val="16"/>
      <color rgb="FF2B3B82"/>
      <name val="Arial"/>
      <family val="2"/>
      <charset val="238"/>
    </font>
    <font>
      <sz val="12"/>
      <color theme="4"/>
      <name val="Arial"/>
      <family val="2"/>
      <charset val="238"/>
    </font>
    <font>
      <sz val="11"/>
      <color theme="4"/>
      <name val="Arial"/>
      <family val="2"/>
      <charset val="238"/>
    </font>
    <font>
      <sz val="11"/>
      <color theme="0"/>
      <name val="Arial"/>
      <family val="2"/>
      <charset val="238"/>
    </font>
    <font>
      <sz val="11"/>
      <color theme="1"/>
      <name val="Calibri"/>
      <family val="2"/>
      <charset val="1"/>
    </font>
    <font>
      <sz val="11"/>
      <color theme="1"/>
      <name val="Calibri"/>
      <family val="2"/>
      <charset val="238"/>
    </font>
    <font>
      <sz val="11"/>
      <color theme="1"/>
      <name val="Arial"/>
      <family val="2"/>
      <charset val="1"/>
    </font>
    <font>
      <b val="true"/>
      <sz val="12"/>
      <color rgb="FFFFFFFF"/>
      <name val="Arial"/>
      <family val="2"/>
      <charset val="238"/>
    </font>
    <font>
      <b val="true"/>
      <sz val="12"/>
      <color theme="4"/>
      <name val="Arial"/>
      <family val="2"/>
      <charset val="238"/>
    </font>
    <font>
      <sz val="12"/>
      <name val="Arial"/>
      <family val="2"/>
      <charset val="238"/>
    </font>
    <font>
      <sz val="12"/>
      <color theme="1"/>
      <name val="Arial"/>
      <family val="2"/>
      <charset val="238"/>
    </font>
    <font>
      <i val="true"/>
      <sz val="12"/>
      <color theme="4"/>
      <name val="Arial"/>
      <family val="2"/>
      <charset val="238"/>
    </font>
    <font>
      <b val="true"/>
      <sz val="12"/>
      <color rgb="FFFFFFFF"/>
      <name val="Arial"/>
      <family val="2"/>
      <charset val="1"/>
    </font>
    <font>
      <b val="true"/>
      <sz val="12"/>
      <color theme="4"/>
      <name val="Arial"/>
      <family val="2"/>
      <charset val="1"/>
    </font>
    <font>
      <b val="true"/>
      <sz val="12"/>
      <color theme="0"/>
      <name val="Arial"/>
      <family val="2"/>
      <charset val="1"/>
    </font>
    <font>
      <sz val="12"/>
      <color theme="0"/>
      <name val="Arial"/>
      <family val="2"/>
      <charset val="238"/>
    </font>
    <font>
      <sz val="16"/>
      <color theme="4"/>
      <name val="Arial"/>
      <family val="2"/>
      <charset val="238"/>
    </font>
    <font>
      <sz val="14"/>
      <color rgb="FF595959"/>
      <name val="Calibri"/>
      <family val="2"/>
    </font>
    <font>
      <sz val="9"/>
      <color rgb="FF404040"/>
      <name val="Calibri"/>
      <family val="2"/>
    </font>
    <font>
      <sz val="9"/>
      <color rgb="FF595959"/>
      <name val="Calibri"/>
      <family val="2"/>
    </font>
  </fonts>
  <fills count="13">
    <fill>
      <patternFill patternType="none"/>
    </fill>
    <fill>
      <patternFill patternType="gray125"/>
    </fill>
    <fill>
      <patternFill patternType="solid">
        <fgColor rgb="FFCCCCCC"/>
        <bgColor rgb="FFD9D9D9"/>
      </patternFill>
    </fill>
    <fill>
      <patternFill patternType="solid">
        <fgColor theme="0"/>
        <bgColor rgb="FFFFFFCC"/>
      </patternFill>
    </fill>
    <fill>
      <patternFill patternType="solid">
        <fgColor theme="9" tint="0.3999"/>
        <bgColor rgb="FF33CCCC"/>
      </patternFill>
    </fill>
    <fill>
      <patternFill patternType="solid">
        <fgColor rgb="FF373E49"/>
        <bgColor rgb="FF404040"/>
      </patternFill>
    </fill>
    <fill>
      <patternFill patternType="solid">
        <fgColor rgb="FFD9D9D9"/>
        <bgColor rgb="FFDCDCE0"/>
      </patternFill>
    </fill>
    <fill>
      <patternFill patternType="solid">
        <fgColor rgb="FFDCDCE0"/>
        <bgColor rgb="FFD9D9D9"/>
      </patternFill>
    </fill>
    <fill>
      <patternFill patternType="solid">
        <fgColor rgb="FFFFFF00"/>
        <bgColor rgb="FFFFFF00"/>
      </patternFill>
    </fill>
    <fill>
      <patternFill patternType="solid">
        <fgColor rgb="FFFFCC00"/>
        <bgColor rgb="FFFFFF00"/>
      </patternFill>
    </fill>
    <fill>
      <patternFill patternType="solid">
        <fgColor rgb="FFFF9900"/>
        <bgColor rgb="FFFFCC00"/>
      </patternFill>
    </fill>
    <fill>
      <patternFill patternType="solid">
        <fgColor rgb="FFFF5050"/>
        <bgColor rgb="FFFF8080"/>
      </patternFill>
    </fill>
    <fill>
      <patternFill patternType="solid">
        <fgColor rgb="FFFFFF80"/>
        <bgColor rgb="FFFFFFCC"/>
      </patternFill>
    </fill>
  </fills>
  <borders count="12">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4" fontId="4" fillId="3" borderId="4"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3" borderId="5"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7" fillId="4" borderId="6" xfId="0" applyFont="true" applyBorder="true" applyAlignment="true" applyProtection="false">
      <alignment horizontal="center" vertical="top" textRotation="0" wrapText="false" indent="0" shrinkToFit="false"/>
      <protection locked="true" hidden="false"/>
    </xf>
    <xf numFmtId="164" fontId="4" fillId="3" borderId="0" xfId="0" applyFont="true" applyBorder="true" applyAlignment="true" applyProtection="false">
      <alignment horizontal="left" vertical="bottom" textRotation="0" wrapText="false" indent="0" shrinkToFit="false"/>
      <protection locked="true" hidden="false"/>
    </xf>
    <xf numFmtId="164" fontId="4" fillId="3" borderId="0" xfId="0" applyFont="true" applyBorder="true" applyAlignment="true" applyProtection="false">
      <alignment horizontal="general" vertical="center" textRotation="0" wrapText="false" indent="0" shrinkToFit="false"/>
      <protection locked="true" hidden="false"/>
    </xf>
    <xf numFmtId="164" fontId="8" fillId="3" borderId="0" xfId="0" applyFont="true" applyBorder="true" applyAlignment="true" applyProtection="false">
      <alignment horizontal="left" vertical="bottom"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5" fontId="8" fillId="3"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true" applyAlignment="true" applyProtection="false">
      <alignment horizontal="left" vertical="bottom" textRotation="0" wrapText="false" indent="0" shrinkToFit="false"/>
      <protection locked="true" hidden="false"/>
    </xf>
    <xf numFmtId="166" fontId="8" fillId="0" borderId="0" xfId="0" applyFont="true" applyBorder="true" applyAlignment="true" applyProtection="false">
      <alignment horizontal="center" vertical="center" textRotation="0" wrapText="true" indent="0" shrinkToFit="false"/>
      <protection locked="true" hidden="false"/>
    </xf>
    <xf numFmtId="167" fontId="4" fillId="3" borderId="0"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0" shrinkToFit="false"/>
      <protection locked="true" hidden="false"/>
    </xf>
    <xf numFmtId="164" fontId="4" fillId="3" borderId="7" xfId="0" applyFont="true" applyBorder="true" applyAlignment="false" applyProtection="false">
      <alignment horizontal="general" vertical="bottom"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4" fillId="3" borderId="9"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13" fillId="0" borderId="3"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3" fillId="0" borderId="4"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3" fillId="0" borderId="5"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4" fillId="5" borderId="10" xfId="0" applyFont="true" applyBorder="true" applyAlignment="true" applyProtection="false">
      <alignment horizontal="center" vertical="bottom" textRotation="0" wrapText="false" indent="0" shrinkToFit="false"/>
      <protection locked="true" hidden="false"/>
    </xf>
    <xf numFmtId="164" fontId="15" fillId="6" borderId="10" xfId="0" applyFont="true" applyBorder="true" applyAlignment="true" applyProtection="false">
      <alignment horizontal="center" vertical="bottom" textRotation="0" wrapText="false" indent="0" shrinkToFit="false"/>
      <protection locked="true" hidden="false"/>
    </xf>
    <xf numFmtId="164" fontId="16" fillId="0" borderId="10" xfId="0" applyFont="true" applyBorder="true" applyAlignment="true" applyProtection="false">
      <alignment horizontal="center" vertical="bottom" textRotation="0" wrapText="false" indent="0" shrinkToFit="false"/>
      <protection locked="true" hidden="false"/>
    </xf>
    <xf numFmtId="164" fontId="17" fillId="0" borderId="10" xfId="0" applyFont="true" applyBorder="true" applyAlignment="true" applyProtection="false">
      <alignment horizontal="center" vertical="bottom" textRotation="0" wrapText="false" indent="0" shrinkToFit="false"/>
      <protection locked="true" hidden="false"/>
    </xf>
    <xf numFmtId="164" fontId="8" fillId="6" borderId="10" xfId="0" applyFont="true" applyBorder="true" applyAlignment="true" applyProtection="false">
      <alignment horizontal="center" vertical="bottom" textRotation="0" wrapText="false" indent="0" shrinkToFit="false"/>
      <protection locked="true" hidden="false"/>
    </xf>
    <xf numFmtId="164" fontId="8" fillId="6" borderId="11" xfId="0" applyFont="true" applyBorder="true" applyAlignment="true" applyProtection="false">
      <alignment horizontal="center" vertical="bottom" textRotation="0" wrapText="false" indent="0" shrinkToFit="false"/>
      <protection locked="true" hidden="false"/>
    </xf>
    <xf numFmtId="164" fontId="17" fillId="0" borderId="10" xfId="0" applyFont="true" applyBorder="true" applyAlignment="false" applyProtection="false">
      <alignment horizontal="general" vertical="bottom" textRotation="0" wrapText="false" indent="0" shrinkToFit="false"/>
      <protection locked="true" hidden="false"/>
    </xf>
    <xf numFmtId="166" fontId="17" fillId="0" borderId="10"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4" fontId="13" fillId="0" borderId="8" xfId="0" applyFont="true" applyBorder="true" applyAlignment="false" applyProtection="false">
      <alignment horizontal="general" vertical="bottom" textRotation="0" wrapText="false" indent="0" shrinkToFit="false"/>
      <protection locked="true" hidden="false"/>
    </xf>
    <xf numFmtId="164" fontId="13" fillId="0" borderId="9" xfId="0" applyFont="true" applyBorder="true" applyAlignment="false" applyProtection="false">
      <alignment horizontal="general" vertical="bottom" textRotation="0" wrapText="fals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18" fillId="0" borderId="10" xfId="0" applyFont="true" applyBorder="true" applyAlignment="true" applyProtection="false">
      <alignment horizontal="general" vertical="bottom" textRotation="0" wrapText="true" indent="0" shrinkToFit="false"/>
      <protection locked="true" hidden="false"/>
    </xf>
    <xf numFmtId="164" fontId="18" fillId="0" borderId="10" xfId="0" applyFont="true" applyBorder="true" applyAlignment="true" applyProtection="false">
      <alignment horizontal="left" vertical="bottom" textRotation="0" wrapText="true" indent="0" shrinkToFit="false"/>
      <protection locked="true" hidden="false"/>
    </xf>
    <xf numFmtId="164" fontId="0" fillId="3" borderId="1" xfId="0" applyFont="fals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true" applyProtection="false">
      <alignment horizontal="general" vertical="center" textRotation="0" wrapText="true" indent="0" shrinkToFit="false"/>
      <protection locked="true" hidden="false"/>
    </xf>
    <xf numFmtId="164" fontId="0" fillId="3" borderId="3" xfId="0" applyFont="false" applyBorder="true" applyAlignment="true" applyProtection="false">
      <alignment horizontal="general" vertical="bottom" textRotation="0" wrapText="true" indent="0" shrinkToFit="false"/>
      <protection locked="true" hidden="false"/>
    </xf>
    <xf numFmtId="164" fontId="0" fillId="2" borderId="0" xfId="0" applyFont="false" applyBorder="true" applyAlignment="true" applyProtection="false">
      <alignment horizontal="general" vertical="bottom" textRotation="0" wrapText="true" indent="0" shrinkToFit="false"/>
      <protection locked="true" hidden="false"/>
    </xf>
    <xf numFmtId="164" fontId="0" fillId="3" borderId="4" xfId="0" applyFont="false" applyBorder="true" applyAlignment="true" applyProtection="false">
      <alignment horizontal="general" vertical="bottom" textRotation="0" wrapText="true" indent="0" shrinkToFit="false"/>
      <protection locked="true" hidden="false"/>
    </xf>
    <xf numFmtId="164" fontId="0" fillId="3" borderId="0" xfId="0" applyFont="false" applyBorder="true" applyAlignment="true" applyProtection="false">
      <alignment horizontal="general" vertical="bottom" textRotation="0" wrapText="true" indent="0" shrinkToFit="false"/>
      <protection locked="true" hidden="false"/>
    </xf>
    <xf numFmtId="164" fontId="0" fillId="3" borderId="5" xfId="0" applyFont="false" applyBorder="true" applyAlignment="true" applyProtection="false">
      <alignment horizontal="general" vertical="bottom" textRotation="0" wrapText="true" indent="0" shrinkToFit="false"/>
      <protection locked="true" hidden="false"/>
    </xf>
    <xf numFmtId="164" fontId="17" fillId="0" borderId="10" xfId="0" applyFont="true" applyBorder="true" applyAlignment="true" applyProtection="false">
      <alignment horizontal="center" vertical="center" textRotation="0" wrapText="false" indent="0" shrinkToFit="false"/>
      <protection locked="true" hidden="false"/>
    </xf>
    <xf numFmtId="168" fontId="0" fillId="3" borderId="4" xfId="0" applyFont="false" applyBorder="true" applyAlignment="true" applyProtection="false">
      <alignment horizontal="general" vertical="bottom" textRotation="0" wrapText="true" indent="0" shrinkToFit="false"/>
      <protection locked="true" hidden="false"/>
    </xf>
    <xf numFmtId="164" fontId="17" fillId="3" borderId="4" xfId="0" applyFont="true" applyBorder="true" applyAlignment="true" applyProtection="false">
      <alignment horizontal="general" vertical="bottom" textRotation="0" wrapText="true" indent="0" shrinkToFit="false"/>
      <protection locked="true" hidden="false"/>
    </xf>
    <xf numFmtId="164" fontId="19" fillId="5" borderId="10" xfId="0" applyFont="true" applyBorder="true" applyAlignment="true" applyProtection="false">
      <alignment horizontal="center" vertical="center" textRotation="0" wrapText="true" indent="0" shrinkToFit="false"/>
      <protection locked="true" hidden="false"/>
    </xf>
    <xf numFmtId="164" fontId="20" fillId="6" borderId="10" xfId="0" applyFont="true" applyBorder="true" applyAlignment="true" applyProtection="false">
      <alignment horizontal="center" vertical="center" textRotation="0" wrapText="true" indent="0" shrinkToFit="false"/>
      <protection locked="true" hidden="false"/>
    </xf>
    <xf numFmtId="164" fontId="21" fillId="5" borderId="10" xfId="0" applyFont="true" applyBorder="true" applyAlignment="true" applyProtection="false">
      <alignment horizontal="center" vertical="center" textRotation="0" wrapText="true" indent="0" shrinkToFit="false"/>
      <protection locked="true" hidden="false"/>
    </xf>
    <xf numFmtId="164" fontId="8" fillId="0" borderId="10" xfId="0" applyFont="true" applyBorder="true" applyAlignment="true" applyProtection="false">
      <alignment horizontal="center" vertical="center" textRotation="0" wrapText="true" indent="0" shrinkToFit="false"/>
      <protection locked="true" hidden="false"/>
    </xf>
    <xf numFmtId="166" fontId="8" fillId="0" borderId="10" xfId="0" applyFont="true" applyBorder="true" applyAlignment="true" applyProtection="false">
      <alignment horizontal="center" vertical="center" textRotation="0" wrapText="true" indent="0" shrinkToFit="false"/>
      <protection locked="true" hidden="false"/>
    </xf>
    <xf numFmtId="164" fontId="17" fillId="0" borderId="10" xfId="0" applyFont="true" applyBorder="true" applyAlignment="true" applyProtection="false">
      <alignment horizontal="center" vertical="center" textRotation="0" wrapText="true" indent="0" shrinkToFit="false"/>
      <protection locked="true" hidden="false"/>
    </xf>
    <xf numFmtId="164" fontId="8" fillId="7" borderId="10" xfId="0" applyFont="true" applyBorder="true" applyAlignment="true" applyProtection="false">
      <alignment horizontal="center" vertical="center" textRotation="0" wrapText="true" indent="0" shrinkToFit="false"/>
      <protection locked="true" hidden="false"/>
    </xf>
    <xf numFmtId="169" fontId="8" fillId="7" borderId="10" xfId="0" applyFont="true" applyBorder="true" applyAlignment="true" applyProtection="false">
      <alignment horizontal="center" vertical="center" textRotation="0" wrapText="true" indent="0" shrinkToFit="false"/>
      <protection locked="true" hidden="false"/>
    </xf>
    <xf numFmtId="164" fontId="17" fillId="7" borderId="10" xfId="0" applyFont="true" applyBorder="true" applyAlignment="true" applyProtection="false">
      <alignment horizontal="center" vertical="center" textRotation="0" wrapText="true" indent="0" shrinkToFit="false"/>
      <protection locked="true" hidden="false"/>
    </xf>
    <xf numFmtId="164" fontId="22" fillId="3" borderId="4" xfId="0" applyFont="true" applyBorder="true" applyAlignment="true" applyProtection="false">
      <alignment horizontal="general" vertical="bottom" textRotation="0" wrapText="true" indent="0" shrinkToFit="false"/>
      <protection locked="true" hidden="false"/>
    </xf>
    <xf numFmtId="169" fontId="8" fillId="0" borderId="10" xfId="0" applyFont="true" applyBorder="true" applyAlignment="true" applyProtection="false">
      <alignment horizontal="center" vertical="center" textRotation="0" wrapText="true" indent="0" shrinkToFit="false"/>
      <protection locked="true" hidden="false"/>
    </xf>
    <xf numFmtId="170" fontId="8" fillId="0" borderId="10" xfId="0" applyFont="true" applyBorder="true" applyAlignment="true" applyProtection="false">
      <alignment horizontal="center" vertical="center" textRotation="0" wrapText="true" indent="0" shrinkToFit="false"/>
      <protection locked="true" hidden="false"/>
    </xf>
    <xf numFmtId="171" fontId="8" fillId="0" borderId="10" xfId="0" applyFont="true" applyBorder="true" applyAlignment="true" applyProtection="false">
      <alignment horizontal="center" vertical="center" textRotation="0" wrapText="true" indent="0" shrinkToFit="false"/>
      <protection locked="true" hidden="false"/>
    </xf>
    <xf numFmtId="171" fontId="8" fillId="7" borderId="1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true" applyProtection="false">
      <alignment horizontal="right" vertical="center" textRotation="0" wrapText="true" indent="0" shrinkToFit="false"/>
      <protection locked="true" hidden="false"/>
    </xf>
    <xf numFmtId="164" fontId="0" fillId="2" borderId="0" xfId="0" applyFont="false" applyBorder="true" applyAlignment="true" applyProtection="false">
      <alignment horizontal="general" vertical="center" textRotation="0" wrapText="tru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center" textRotation="90" wrapText="false" indent="0" shrinkToFit="false"/>
      <protection locked="true" hidden="false"/>
    </xf>
    <xf numFmtId="172" fontId="17" fillId="8" borderId="0" xfId="0" applyFont="true" applyBorder="true" applyAlignment="true" applyProtection="false">
      <alignment horizontal="center" vertical="center" textRotation="0" wrapText="false" indent="0" shrinkToFit="false"/>
      <protection locked="true" hidden="false"/>
    </xf>
    <xf numFmtId="172" fontId="17" fillId="9" borderId="0" xfId="0" applyFont="true" applyBorder="true" applyAlignment="true" applyProtection="false">
      <alignment horizontal="center" vertical="center" textRotation="0" wrapText="false" indent="0" shrinkToFit="false"/>
      <protection locked="true" hidden="false"/>
    </xf>
    <xf numFmtId="172" fontId="17" fillId="10" borderId="0" xfId="0" applyFont="true" applyBorder="true" applyAlignment="true" applyProtection="false">
      <alignment horizontal="center" vertical="center" textRotation="0" wrapText="false" indent="0" shrinkToFit="false"/>
      <protection locked="true" hidden="false"/>
    </xf>
    <xf numFmtId="172" fontId="17" fillId="11" borderId="0" xfId="0" applyFont="true" applyBorder="true" applyAlignment="true" applyProtection="false">
      <alignment horizontal="center" vertical="center" textRotation="0" wrapText="false" indent="0" shrinkToFit="false"/>
      <protection locked="true" hidden="false"/>
    </xf>
    <xf numFmtId="172" fontId="17" fillId="12"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1" fillId="0" borderId="7"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FFF80"/>
        </patternFill>
      </fill>
    </dxf>
    <dxf>
      <fill>
        <patternFill>
          <bgColor rgb="FFFFFF00"/>
        </patternFill>
      </fill>
    </dxf>
    <dxf>
      <fill>
        <patternFill>
          <bgColor rgb="FFFFCC00"/>
        </patternFill>
      </fill>
    </dxf>
    <dxf>
      <fill>
        <patternFill>
          <bgColor rgb="FFFF9900"/>
        </patternFill>
      </fill>
    </dxf>
    <dxf>
      <fill>
        <patternFill>
          <bgColor rgb="FFFF5050"/>
        </patternFill>
      </fill>
    </dxf>
    <dxf>
      <fill>
        <patternFill>
          <bgColor rgb="FFFFFF00"/>
        </patternFill>
      </fill>
    </dxf>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7A3A5"/>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8AD"/>
      <rgbColor rgb="FFCCFFFF"/>
      <rgbColor rgb="FFDCDCE0"/>
      <rgbColor rgb="FFFFFF80"/>
      <rgbColor rgb="FF71E5EB"/>
      <rgbColor rgb="FFFF99CC"/>
      <rgbColor rgb="FFCC99FF"/>
      <rgbColor rgb="FFFFCC99"/>
      <rgbColor rgb="FF3366FF"/>
      <rgbColor rgb="FF33CCCC"/>
      <rgbColor rgb="FF99CC00"/>
      <rgbColor rgb="FFFFCC00"/>
      <rgbColor rgb="FFFF9900"/>
      <rgbColor rgb="FFFF5050"/>
      <rgbColor rgb="FF595959"/>
      <rgbColor rgb="FF969696"/>
      <rgbColor rgb="FF003366"/>
      <rgbColor rgb="FF339966"/>
      <rgbColor rgb="FF003300"/>
      <rgbColor rgb="FF404040"/>
      <rgbColor rgb="FF993300"/>
      <rgbColor rgb="FF993366"/>
      <rgbColor rgb="FF2B3B82"/>
      <rgbColor rgb="FF373E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ea typeface="Calibri"/>
              </a:defRPr>
            </a:pPr>
            <a:r>
              <a:rPr b="0" lang="en-US" sz="1400" spc="-1" strike="noStrike">
                <a:solidFill>
                  <a:srgbClr val="595959"/>
                </a:solidFill>
                <a:latin typeface="Calibri"/>
                <a:ea typeface="Calibri"/>
              </a:rPr>
              <a:t>Overall inherent risks</a:t>
            </a:r>
          </a:p>
        </c:rich>
      </c:tx>
      <c:overlay val="0"/>
      <c:spPr>
        <a:noFill/>
        <a:ln w="0">
          <a:noFill/>
        </a:ln>
      </c:spPr>
    </c:title>
    <c:autoTitleDeleted val="0"/>
    <c:plotArea>
      <c:pieChart>
        <c:varyColors val="1"/>
        <c:ser>
          <c:idx val="0"/>
          <c:order val="0"/>
          <c:tx>
            <c:strRef>
              <c:f>'Summary of risks'!$C$2</c:f>
              <c:strCache>
                <c:ptCount val="1"/>
                <c:pt idx="0">
                  <c:v/>
                </c:pt>
              </c:strCache>
            </c:strRef>
          </c:tx>
          <c:spPr>
            <a:solidFill>
              <a:srgbClr val="373e49"/>
            </a:solidFill>
            <a:ln w="0">
              <a:noFill/>
            </a:ln>
          </c:spPr>
          <c:explosion val="0"/>
          <c:dPt>
            <c:idx val="0"/>
            <c:spPr>
              <a:solidFill>
                <a:srgbClr val="ff5050"/>
              </a:solidFill>
              <a:ln w="19080">
                <a:solidFill>
                  <a:srgbClr val="ffffff"/>
                </a:solidFill>
                <a:round/>
              </a:ln>
            </c:spPr>
          </c:dPt>
          <c:dPt>
            <c:idx val="1"/>
            <c:spPr>
              <a:solidFill>
                <a:srgbClr val="ff9900"/>
              </a:solidFill>
              <a:ln w="19080">
                <a:solidFill>
                  <a:srgbClr val="ffffff"/>
                </a:solidFill>
                <a:round/>
              </a:ln>
            </c:spPr>
          </c:dPt>
          <c:dPt>
            <c:idx val="2"/>
            <c:spPr>
              <a:solidFill>
                <a:srgbClr val="ffcc00"/>
              </a:solidFill>
              <a:ln w="19080">
                <a:solidFill>
                  <a:srgbClr val="ffffff"/>
                </a:solidFill>
                <a:round/>
              </a:ln>
            </c:spPr>
          </c:dPt>
          <c:dPt>
            <c:idx val="3"/>
            <c:spPr>
              <a:solidFill>
                <a:srgbClr val="ffff00"/>
              </a:solidFill>
              <a:ln w="19080">
                <a:solidFill>
                  <a:srgbClr val="ffffff"/>
                </a:solidFill>
                <a:round/>
              </a:ln>
            </c:spPr>
          </c:dPt>
          <c:dPt>
            <c:idx val="4"/>
            <c:spPr>
              <a:solidFill>
                <a:srgbClr val="ffff80"/>
              </a:solidFill>
              <a:ln w="19080">
                <a:solidFill>
                  <a:srgbClr val="ffffff"/>
                </a:solidFill>
                <a:round/>
              </a:ln>
            </c:spPr>
          </c:dPt>
          <c:dLbls>
            <c:numFmt formatCode="General" sourceLinked="1"/>
            <c:dLbl>
              <c:idx val="0"/>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1"/>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2"/>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3"/>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4"/>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inEnd"/>
            <c:showLegendKey val="0"/>
            <c:showVal val="1"/>
            <c:showCatName val="0"/>
            <c:showSerName val="0"/>
            <c:showPercent val="0"/>
            <c:separator>; </c:separator>
            <c:showLeaderLines val="1"/>
          </c:dLbls>
          <c:cat>
            <c:strRef>
              <c:f>'Summary of risks'!$B$3:$B$7</c:f>
              <c:strCache>
                <c:ptCount val="5"/>
                <c:pt idx="0">
                  <c:v>Critical</c:v>
                </c:pt>
                <c:pt idx="1">
                  <c:v>High</c:v>
                </c:pt>
                <c:pt idx="2">
                  <c:v>Medium</c:v>
                </c:pt>
                <c:pt idx="3">
                  <c:v>Low</c:v>
                </c:pt>
                <c:pt idx="4">
                  <c:v>Very Low</c:v>
                </c:pt>
              </c:strCache>
            </c:strRef>
          </c:cat>
          <c:val>
            <c:numRef>
              <c:f>'Summary of risks'!$C$3:$C$7</c:f>
              <c:numCache>
                <c:formatCode>General</c:formatCode>
                <c:ptCount val="5"/>
                <c:pt idx="0">
                  <c:v>9</c:v>
                </c:pt>
                <c:pt idx="1">
                  <c:v>3</c:v>
                </c:pt>
                <c:pt idx="2">
                  <c:v>1</c:v>
                </c:pt>
                <c:pt idx="3">
                  <c:v>0</c:v>
                </c:pt>
                <c:pt idx="4">
                  <c:v>0</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ea typeface="Calibri"/>
              </a:defRPr>
            </a:pPr>
            <a:r>
              <a:rPr b="0" lang="en-US" sz="1400" spc="-1" strike="noStrike">
                <a:solidFill>
                  <a:srgbClr val="595959"/>
                </a:solidFill>
                <a:latin typeface="Calibri"/>
                <a:ea typeface="Calibri"/>
              </a:rPr>
              <a:t>Overall residual risks</a:t>
            </a:r>
          </a:p>
        </c:rich>
      </c:tx>
      <c:overlay val="0"/>
      <c:spPr>
        <a:noFill/>
        <a:ln w="0">
          <a:noFill/>
        </a:ln>
      </c:spPr>
    </c:title>
    <c:autoTitleDeleted val="0"/>
    <c:plotArea>
      <c:pieChart>
        <c:varyColors val="1"/>
        <c:ser>
          <c:idx val="0"/>
          <c:order val="0"/>
          <c:spPr>
            <a:solidFill>
              <a:srgbClr val="373e49"/>
            </a:solidFill>
            <a:ln w="0">
              <a:noFill/>
            </a:ln>
          </c:spPr>
          <c:explosion val="0"/>
          <c:dPt>
            <c:idx val="0"/>
            <c:spPr>
              <a:solidFill>
                <a:srgbClr val="ff5050"/>
              </a:solidFill>
              <a:ln w="19080">
                <a:solidFill>
                  <a:srgbClr val="ffffff"/>
                </a:solidFill>
                <a:round/>
              </a:ln>
            </c:spPr>
          </c:dPt>
          <c:dPt>
            <c:idx val="1"/>
            <c:spPr>
              <a:solidFill>
                <a:srgbClr val="ff9900"/>
              </a:solidFill>
              <a:ln w="19080">
                <a:solidFill>
                  <a:srgbClr val="ffffff"/>
                </a:solidFill>
                <a:round/>
              </a:ln>
            </c:spPr>
          </c:dPt>
          <c:dPt>
            <c:idx val="2"/>
            <c:spPr>
              <a:solidFill>
                <a:srgbClr val="ffcc00"/>
              </a:solidFill>
              <a:ln w="19080">
                <a:solidFill>
                  <a:srgbClr val="ffffff"/>
                </a:solidFill>
                <a:round/>
              </a:ln>
            </c:spPr>
          </c:dPt>
          <c:dPt>
            <c:idx val="3"/>
            <c:spPr>
              <a:solidFill>
                <a:srgbClr val="ffff00"/>
              </a:solidFill>
              <a:ln w="19080">
                <a:solidFill>
                  <a:srgbClr val="ffffff"/>
                </a:solidFill>
                <a:round/>
              </a:ln>
            </c:spPr>
          </c:dPt>
          <c:dPt>
            <c:idx val="4"/>
            <c:spPr>
              <a:solidFill>
                <a:srgbClr val="ffff80"/>
              </a:solidFill>
              <a:ln w="19080">
                <a:solidFill>
                  <a:srgbClr val="ffffff"/>
                </a:solidFill>
                <a:round/>
              </a:ln>
            </c:spPr>
          </c:dPt>
          <c:dLbls>
            <c:numFmt formatCode="General" sourceLinked="1"/>
            <c:dLbl>
              <c:idx val="0"/>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1"/>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2"/>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3"/>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dLbl>
              <c:idx val="4"/>
              <c:numFmt formatCode="General" sourceLinked="1"/>
              <c:txPr>
                <a:bodyPr wrap="square"/>
                <a:lstStyle/>
                <a:p>
                  <a:pPr>
                    <a:defRPr b="0" sz="900" spc="-1" strike="noStrike">
                      <a:solidFill>
                        <a:srgbClr val="404040"/>
                      </a:solidFill>
                      <a:latin typeface="Calibri"/>
                    </a:defRPr>
                  </a:pPr>
                </a:p>
              </c:txPr>
              <c:dLblPos val="in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inEnd"/>
            <c:showLegendKey val="0"/>
            <c:showVal val="1"/>
            <c:showCatName val="0"/>
            <c:showSerName val="0"/>
            <c:showPercent val="0"/>
            <c:separator>; </c:separator>
            <c:showLeaderLines val="1"/>
          </c:dLbls>
          <c:cat>
            <c:strRef>
              <c:f>'Summary of risks'!$E$3:$E$7</c:f>
              <c:strCache>
                <c:ptCount val="5"/>
                <c:pt idx="0">
                  <c:v>Critical</c:v>
                </c:pt>
                <c:pt idx="1">
                  <c:v>High</c:v>
                </c:pt>
                <c:pt idx="2">
                  <c:v>Medium</c:v>
                </c:pt>
                <c:pt idx="3">
                  <c:v>Low</c:v>
                </c:pt>
                <c:pt idx="4">
                  <c:v>Very Low</c:v>
                </c:pt>
              </c:strCache>
            </c:strRef>
          </c:cat>
          <c:val>
            <c:numRef>
              <c:f>'Summary of risks'!$F$3:$F$7</c:f>
              <c:numCache>
                <c:formatCode>General</c:formatCode>
                <c:ptCount val="5"/>
                <c:pt idx="0">
                  <c:v>1</c:v>
                </c:pt>
                <c:pt idx="1">
                  <c:v>0</c:v>
                </c:pt>
                <c:pt idx="2">
                  <c:v>8</c:v>
                </c:pt>
                <c:pt idx="3">
                  <c:v>3</c:v>
                </c:pt>
                <c:pt idx="4">
                  <c:v>1</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609480</xdr:colOff>
      <xdr:row>3</xdr:row>
      <xdr:rowOff>152280</xdr:rowOff>
    </xdr:from>
    <xdr:to>
      <xdr:col>6</xdr:col>
      <xdr:colOff>569160</xdr:colOff>
      <xdr:row>17</xdr:row>
      <xdr:rowOff>161280</xdr:rowOff>
    </xdr:to>
    <xdr:pic>
      <xdr:nvPicPr>
        <xdr:cNvPr id="0" name="Picture 2" descr=""/>
        <xdr:cNvPicPr/>
      </xdr:nvPicPr>
      <xdr:blipFill>
        <a:blip r:embed="rId1"/>
        <a:stretch/>
      </xdr:blipFill>
      <xdr:spPr>
        <a:xfrm>
          <a:off x="5072760" y="723960"/>
          <a:ext cx="3396600" cy="2675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700920</xdr:colOff>
      <xdr:row>8</xdr:row>
      <xdr:rowOff>129600</xdr:rowOff>
    </xdr:from>
    <xdr:to>
      <xdr:col>6</xdr:col>
      <xdr:colOff>275760</xdr:colOff>
      <xdr:row>29</xdr:row>
      <xdr:rowOff>67320</xdr:rowOff>
    </xdr:to>
    <xdr:graphicFrame>
      <xdr:nvGraphicFramePr>
        <xdr:cNvPr id="1" name="Chart 1"/>
        <xdr:cNvGraphicFramePr/>
      </xdr:nvGraphicFramePr>
      <xdr:xfrm>
        <a:off x="700920" y="1653480"/>
        <a:ext cx="4885920" cy="3938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767880</xdr:colOff>
      <xdr:row>8</xdr:row>
      <xdr:rowOff>133200</xdr:rowOff>
    </xdr:from>
    <xdr:to>
      <xdr:col>12</xdr:col>
      <xdr:colOff>352080</xdr:colOff>
      <xdr:row>29</xdr:row>
      <xdr:rowOff>72720</xdr:rowOff>
    </xdr:to>
    <xdr:graphicFrame>
      <xdr:nvGraphicFramePr>
        <xdr:cNvPr id="2" name="Chart 2"/>
        <xdr:cNvGraphicFramePr/>
      </xdr:nvGraphicFramePr>
      <xdr:xfrm>
        <a:off x="6078960" y="1657080"/>
        <a:ext cx="4323240" cy="3940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73e49"/>
      </a:accent1>
      <a:accent2>
        <a:srgbClr val="211261"/>
      </a:accent2>
      <a:accent3>
        <a:srgbClr val="515793"/>
      </a:accent3>
      <a:accent4>
        <a:srgbClr val="5dc4bb"/>
      </a:accent4>
      <a:accent5>
        <a:srgbClr val="555660"/>
      </a:accent5>
      <a:accent6>
        <a:srgbClr val="1dcad3"/>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8AD"/>
    <pageSetUpPr fitToPage="true"/>
  </sheetPr>
  <dimension ref="A1:I999"/>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2" activeCellId="0" sqref="B12"/>
    </sheetView>
  </sheetViews>
  <sheetFormatPr defaultColWidth="14.4453125" defaultRowHeight="15" zeroHeight="false" outlineLevelRow="0" outlineLevelCol="0"/>
  <cols>
    <col collapsed="false" customWidth="true" hidden="false" outlineLevel="0" max="1" min="1" style="1" width="51.44"/>
    <col collapsed="false" customWidth="true" hidden="false" outlineLevel="0" max="5" min="2" style="1" width="11.89"/>
    <col collapsed="false" customWidth="true" hidden="false" outlineLevel="0" max="6" min="6" style="1" width="13.11"/>
    <col collapsed="false" customWidth="true" hidden="false" outlineLevel="0" max="8" min="7" style="1" width="11.89"/>
    <col collapsed="false" customWidth="true" hidden="false" outlineLevel="0" max="9" min="9" style="1" width="87"/>
    <col collapsed="false" customWidth="true" hidden="false" outlineLevel="0" max="10" min="10" style="1" width="4"/>
    <col collapsed="false" customWidth="true" hidden="true" outlineLevel="0" max="17" min="11" style="1" width="8.88"/>
    <col collapsed="false" customWidth="true" hidden="false" outlineLevel="0" max="25" min="18" style="1" width="8.88"/>
    <col collapsed="false" customWidth="false" hidden="false" outlineLevel="0" max="16384" min="26" style="1" width="14.44"/>
  </cols>
  <sheetData>
    <row r="1" customFormat="false" ht="15" hidden="false" customHeight="true" outlineLevel="0" collapsed="false">
      <c r="A1" s="2"/>
      <c r="B1" s="3"/>
      <c r="C1" s="3"/>
      <c r="D1" s="3"/>
      <c r="E1" s="3"/>
      <c r="F1" s="3"/>
      <c r="G1" s="3"/>
      <c r="H1" s="3"/>
      <c r="I1" s="4"/>
    </row>
    <row r="2" customFormat="false" ht="15" hidden="false" customHeight="true" outlineLevel="0" collapsed="false">
      <c r="A2" s="5"/>
      <c r="B2" s="6"/>
      <c r="C2" s="6"/>
      <c r="D2" s="6"/>
      <c r="E2" s="6"/>
      <c r="F2" s="6"/>
      <c r="G2" s="6"/>
      <c r="H2" s="6"/>
      <c r="I2" s="7"/>
    </row>
    <row r="3" customFormat="false" ht="15" hidden="false" customHeight="true" outlineLevel="0" collapsed="false">
      <c r="A3" s="5"/>
      <c r="B3" s="6"/>
      <c r="C3" s="6"/>
      <c r="D3" s="6"/>
      <c r="E3" s="6"/>
      <c r="F3" s="6"/>
      <c r="G3" s="6"/>
      <c r="H3" s="6"/>
      <c r="I3" s="7"/>
    </row>
    <row r="4" customFormat="false" ht="15" hidden="false" customHeight="true" outlineLevel="0" collapsed="false">
      <c r="A4" s="5"/>
      <c r="B4" s="6"/>
      <c r="C4" s="6"/>
      <c r="D4" s="6"/>
      <c r="E4" s="6"/>
      <c r="F4" s="6"/>
      <c r="G4" s="6"/>
      <c r="H4" s="6"/>
      <c r="I4" s="7"/>
    </row>
    <row r="5" customFormat="false" ht="15" hidden="false" customHeight="true" outlineLevel="0" collapsed="false">
      <c r="A5" s="5"/>
      <c r="B5" s="6"/>
      <c r="C5" s="6"/>
      <c r="D5" s="6"/>
      <c r="E5" s="6"/>
      <c r="F5" s="6"/>
      <c r="G5" s="6"/>
      <c r="H5" s="6"/>
      <c r="I5" s="7"/>
    </row>
    <row r="6" customFormat="false" ht="15" hidden="false" customHeight="true" outlineLevel="0" collapsed="false">
      <c r="A6" s="5"/>
      <c r="B6" s="6"/>
      <c r="C6" s="6"/>
      <c r="D6" s="6"/>
      <c r="E6" s="6"/>
      <c r="F6" s="6"/>
      <c r="G6" s="6"/>
      <c r="H6" s="6"/>
      <c r="I6" s="7"/>
    </row>
    <row r="7" customFormat="false" ht="15" hidden="false" customHeight="true" outlineLevel="0" collapsed="false">
      <c r="A7" s="5"/>
      <c r="B7" s="6"/>
      <c r="C7" s="6"/>
      <c r="D7" s="8"/>
      <c r="E7" s="8"/>
      <c r="F7" s="8"/>
      <c r="G7" s="6"/>
      <c r="H7" s="6"/>
      <c r="I7" s="7"/>
    </row>
    <row r="8" customFormat="false" ht="15" hidden="false" customHeight="true" outlineLevel="0" collapsed="false">
      <c r="A8" s="5"/>
      <c r="B8" s="6"/>
      <c r="C8" s="6"/>
      <c r="D8" s="8"/>
      <c r="E8" s="8"/>
      <c r="F8" s="8"/>
      <c r="G8" s="6"/>
      <c r="H8" s="6"/>
      <c r="I8" s="7"/>
    </row>
    <row r="9" customFormat="false" ht="15" hidden="false" customHeight="true" outlineLevel="0" collapsed="false">
      <c r="A9" s="5"/>
      <c r="B9" s="6"/>
      <c r="C9" s="6"/>
      <c r="D9" s="8"/>
      <c r="E9" s="8"/>
      <c r="F9" s="8"/>
      <c r="G9" s="6"/>
      <c r="H9" s="6"/>
      <c r="I9" s="7"/>
    </row>
    <row r="10" customFormat="false" ht="15" hidden="false" customHeight="true" outlineLevel="0" collapsed="false">
      <c r="A10" s="5"/>
      <c r="B10" s="6"/>
      <c r="C10" s="6"/>
      <c r="D10" s="8"/>
      <c r="E10" s="8"/>
      <c r="F10" s="8"/>
      <c r="G10" s="6"/>
      <c r="H10" s="6"/>
      <c r="I10" s="7"/>
    </row>
    <row r="11" customFormat="false" ht="15" hidden="false" customHeight="true" outlineLevel="0" collapsed="false">
      <c r="A11" s="5"/>
      <c r="B11" s="6"/>
      <c r="C11" s="6"/>
      <c r="D11" s="8"/>
      <c r="E11" s="8"/>
      <c r="F11" s="8"/>
      <c r="G11" s="6"/>
      <c r="H11" s="6"/>
      <c r="I11" s="7"/>
    </row>
    <row r="12" customFormat="false" ht="15" hidden="false" customHeight="true" outlineLevel="0" collapsed="false">
      <c r="A12" s="5"/>
      <c r="B12" s="6"/>
      <c r="C12" s="6"/>
      <c r="D12" s="8"/>
      <c r="E12" s="8"/>
      <c r="F12" s="8"/>
      <c r="G12" s="6"/>
      <c r="H12" s="6"/>
      <c r="I12" s="7"/>
    </row>
    <row r="13" customFormat="false" ht="15" hidden="false" customHeight="true" outlineLevel="0" collapsed="false">
      <c r="A13" s="5"/>
      <c r="B13" s="6"/>
      <c r="C13" s="6"/>
      <c r="D13" s="8"/>
      <c r="E13" s="8"/>
      <c r="F13" s="8"/>
      <c r="G13" s="6"/>
      <c r="H13" s="6"/>
      <c r="I13" s="7"/>
    </row>
    <row r="14" customFormat="false" ht="15" hidden="false" customHeight="true" outlineLevel="0" collapsed="false">
      <c r="A14" s="5"/>
      <c r="B14" s="6"/>
      <c r="C14" s="6"/>
      <c r="D14" s="8"/>
      <c r="E14" s="8"/>
      <c r="F14" s="8"/>
      <c r="G14" s="6"/>
      <c r="H14" s="6"/>
      <c r="I14" s="7"/>
    </row>
    <row r="15" customFormat="false" ht="15" hidden="false" customHeight="true" outlineLevel="0" collapsed="false">
      <c r="A15" s="5"/>
      <c r="B15" s="6"/>
      <c r="C15" s="6"/>
      <c r="D15" s="6"/>
      <c r="E15" s="6"/>
      <c r="F15" s="6"/>
      <c r="G15" s="6"/>
      <c r="H15" s="6"/>
      <c r="I15" s="7"/>
    </row>
    <row r="16" customFormat="false" ht="15" hidden="false" customHeight="true" outlineLevel="0" collapsed="false">
      <c r="A16" s="5"/>
      <c r="B16" s="6"/>
      <c r="C16" s="6"/>
      <c r="D16" s="6"/>
      <c r="E16" s="6"/>
      <c r="F16" s="6"/>
      <c r="G16" s="6"/>
      <c r="H16" s="6"/>
      <c r="I16" s="7"/>
    </row>
    <row r="17" customFormat="false" ht="15" hidden="false" customHeight="true" outlineLevel="0" collapsed="false">
      <c r="A17" s="5"/>
      <c r="B17" s="6"/>
      <c r="C17" s="6"/>
      <c r="D17" s="6"/>
      <c r="E17" s="6"/>
      <c r="F17" s="6"/>
      <c r="G17" s="6"/>
      <c r="H17" s="6"/>
      <c r="I17" s="7"/>
    </row>
    <row r="18" customFormat="false" ht="15" hidden="false" customHeight="true" outlineLevel="0" collapsed="false">
      <c r="A18" s="5"/>
      <c r="B18" s="6"/>
      <c r="C18" s="6"/>
      <c r="D18" s="6"/>
      <c r="E18" s="6"/>
      <c r="F18" s="6"/>
      <c r="G18" s="6"/>
      <c r="H18" s="6"/>
      <c r="I18" s="7"/>
    </row>
    <row r="19" customFormat="false" ht="15" hidden="false" customHeight="true" outlineLevel="0" collapsed="false">
      <c r="A19" s="5"/>
      <c r="B19" s="6"/>
      <c r="C19" s="6"/>
      <c r="D19" s="6"/>
      <c r="E19" s="6"/>
      <c r="F19" s="6"/>
      <c r="G19" s="6"/>
      <c r="H19" s="6"/>
      <c r="I19" s="7"/>
    </row>
    <row r="20" customFormat="false" ht="15" hidden="false" customHeight="true" outlineLevel="0" collapsed="false">
      <c r="A20" s="5"/>
      <c r="B20" s="6"/>
      <c r="C20" s="6"/>
      <c r="D20" s="6"/>
      <c r="E20" s="6"/>
      <c r="F20" s="6"/>
      <c r="G20" s="6"/>
      <c r="H20" s="6"/>
      <c r="I20" s="7"/>
    </row>
    <row r="21" customFormat="false" ht="39" hidden="false" customHeight="true" outlineLevel="0" collapsed="false">
      <c r="A21" s="9" t="s">
        <v>0</v>
      </c>
      <c r="B21" s="9"/>
      <c r="C21" s="9"/>
      <c r="D21" s="9"/>
      <c r="E21" s="9"/>
      <c r="F21" s="9"/>
      <c r="G21" s="9"/>
      <c r="H21" s="9"/>
      <c r="I21" s="9"/>
    </row>
    <row r="22" customFormat="false" ht="20.25" hidden="false" customHeight="true" outlineLevel="0" collapsed="false">
      <c r="A22" s="10" t="s">
        <v>1</v>
      </c>
      <c r="B22" s="10"/>
      <c r="C22" s="10"/>
      <c r="D22" s="10"/>
      <c r="E22" s="10"/>
      <c r="F22" s="10"/>
      <c r="G22" s="10"/>
      <c r="H22" s="10"/>
      <c r="I22" s="10"/>
    </row>
    <row r="23" customFormat="false" ht="15" hidden="false" customHeight="true" outlineLevel="0" collapsed="false">
      <c r="A23" s="5"/>
      <c r="B23" s="6"/>
      <c r="C23" s="6"/>
      <c r="D23" s="11"/>
      <c r="E23" s="11"/>
      <c r="F23" s="12"/>
      <c r="G23" s="6"/>
      <c r="H23" s="6"/>
      <c r="I23" s="7"/>
    </row>
    <row r="24" customFormat="false" ht="15" hidden="false" customHeight="true" outlineLevel="0" collapsed="false">
      <c r="A24" s="5"/>
      <c r="B24" s="6"/>
      <c r="C24" s="6"/>
      <c r="D24" s="13" t="s">
        <v>2</v>
      </c>
      <c r="E24" s="13"/>
      <c r="F24" s="14" t="s">
        <v>3</v>
      </c>
      <c r="G24" s="15"/>
      <c r="H24" s="6"/>
      <c r="I24" s="7"/>
    </row>
    <row r="25" customFormat="false" ht="15" hidden="false" customHeight="true" outlineLevel="0" collapsed="false">
      <c r="A25" s="5"/>
      <c r="B25" s="6"/>
      <c r="C25" s="6"/>
      <c r="D25" s="13" t="s">
        <v>4</v>
      </c>
      <c r="E25" s="13"/>
      <c r="F25" s="16" t="s">
        <v>5</v>
      </c>
      <c r="G25" s="15"/>
      <c r="H25" s="6"/>
      <c r="I25" s="7"/>
    </row>
    <row r="26" customFormat="false" ht="15" hidden="false" customHeight="true" outlineLevel="0" collapsed="false">
      <c r="A26" s="5"/>
      <c r="B26" s="6"/>
      <c r="C26" s="11"/>
      <c r="D26" s="17" t="s">
        <v>6</v>
      </c>
      <c r="E26" s="17"/>
      <c r="F26" s="18" t="n">
        <v>46119</v>
      </c>
      <c r="G26" s="19"/>
      <c r="H26" s="6"/>
      <c r="I26" s="7"/>
    </row>
    <row r="27" customFormat="false" ht="15" hidden="false" customHeight="true" outlineLevel="0" collapsed="false">
      <c r="A27" s="5"/>
      <c r="B27" s="6"/>
      <c r="C27" s="6"/>
      <c r="D27" s="20"/>
      <c r="E27" s="20"/>
      <c r="F27" s="6"/>
      <c r="G27" s="12"/>
      <c r="H27" s="6"/>
      <c r="I27" s="7"/>
    </row>
    <row r="28" customFormat="false" ht="15" hidden="false" customHeight="true" outlineLevel="0" collapsed="false">
      <c r="A28" s="5"/>
      <c r="B28" s="6"/>
      <c r="C28" s="6"/>
      <c r="D28" s="20"/>
      <c r="E28" s="20"/>
      <c r="F28" s="6"/>
      <c r="G28" s="6"/>
      <c r="H28" s="6"/>
      <c r="I28" s="7"/>
    </row>
    <row r="29" customFormat="false" ht="15" hidden="false" customHeight="true" outlineLevel="0" collapsed="false">
      <c r="A29" s="5"/>
      <c r="B29" s="6"/>
      <c r="C29" s="6"/>
      <c r="D29" s="6"/>
      <c r="E29" s="6"/>
      <c r="F29" s="6"/>
      <c r="G29" s="6"/>
      <c r="H29" s="6"/>
      <c r="I29" s="7"/>
    </row>
    <row r="30" customFormat="false" ht="15" hidden="false" customHeight="true" outlineLevel="0" collapsed="false">
      <c r="A30" s="5"/>
      <c r="B30" s="6"/>
      <c r="C30" s="6"/>
      <c r="D30" s="6"/>
      <c r="E30" s="6"/>
      <c r="F30" s="6"/>
      <c r="G30" s="6"/>
      <c r="H30" s="6"/>
      <c r="I30" s="7"/>
    </row>
    <row r="31" customFormat="false" ht="15" hidden="false" customHeight="true" outlineLevel="0" collapsed="false">
      <c r="A31" s="5"/>
      <c r="B31" s="6"/>
      <c r="C31" s="6"/>
      <c r="D31" s="6"/>
      <c r="E31" s="6"/>
      <c r="F31" s="6"/>
      <c r="G31" s="6"/>
      <c r="H31" s="6"/>
      <c r="I31" s="7"/>
    </row>
    <row r="32" customFormat="false" ht="15" hidden="false" customHeight="true" outlineLevel="0" collapsed="false">
      <c r="A32" s="5"/>
      <c r="B32" s="6"/>
      <c r="C32" s="6"/>
      <c r="D32" s="6"/>
      <c r="E32" s="6"/>
      <c r="F32" s="6"/>
      <c r="G32" s="6"/>
      <c r="H32" s="6"/>
      <c r="I32" s="7"/>
    </row>
    <row r="33" customFormat="false" ht="15" hidden="false" customHeight="true" outlineLevel="0" collapsed="false">
      <c r="A33" s="5"/>
      <c r="B33" s="6"/>
      <c r="C33" s="6"/>
      <c r="D33" s="6"/>
      <c r="E33" s="6"/>
      <c r="F33" s="6"/>
      <c r="G33" s="6"/>
      <c r="H33" s="6"/>
      <c r="I33" s="7"/>
    </row>
    <row r="34" customFormat="false" ht="15" hidden="false" customHeight="true" outlineLevel="0" collapsed="false">
      <c r="A34" s="5"/>
      <c r="B34" s="6"/>
      <c r="C34" s="6"/>
      <c r="D34" s="6"/>
      <c r="E34" s="6"/>
      <c r="F34" s="6"/>
      <c r="G34" s="6"/>
      <c r="H34" s="6"/>
      <c r="I34" s="7"/>
    </row>
    <row r="35" customFormat="false" ht="15" hidden="false" customHeight="true" outlineLevel="0" collapsed="false">
      <c r="A35" s="5"/>
      <c r="B35" s="6"/>
      <c r="C35" s="6"/>
      <c r="D35" s="6"/>
      <c r="E35" s="6"/>
      <c r="F35" s="6"/>
      <c r="G35" s="6"/>
      <c r="H35" s="6"/>
      <c r="I35" s="7"/>
    </row>
    <row r="36" customFormat="false" ht="15" hidden="false" customHeight="true" outlineLevel="0" collapsed="false">
      <c r="A36" s="5"/>
      <c r="B36" s="6"/>
      <c r="C36" s="6"/>
      <c r="D36" s="6"/>
      <c r="E36" s="6"/>
      <c r="F36" s="6"/>
      <c r="G36" s="6"/>
      <c r="H36" s="6"/>
      <c r="I36" s="7"/>
    </row>
    <row r="37" customFormat="false" ht="15" hidden="false" customHeight="true" outlineLevel="0" collapsed="false">
      <c r="A37" s="5"/>
      <c r="B37" s="6"/>
      <c r="C37" s="6"/>
      <c r="D37" s="6"/>
      <c r="E37" s="6"/>
      <c r="F37" s="6"/>
      <c r="G37" s="6"/>
      <c r="H37" s="6"/>
      <c r="I37" s="7"/>
    </row>
    <row r="38" customFormat="false" ht="15" hidden="false" customHeight="true" outlineLevel="0" collapsed="false">
      <c r="A38" s="5"/>
      <c r="B38" s="6"/>
      <c r="C38" s="6"/>
      <c r="D38" s="6"/>
      <c r="E38" s="6"/>
      <c r="F38" s="6"/>
      <c r="G38" s="6"/>
      <c r="H38" s="6"/>
      <c r="I38" s="7"/>
    </row>
    <row r="39" customFormat="false" ht="15" hidden="false" customHeight="true" outlineLevel="0" collapsed="false">
      <c r="A39" s="5"/>
      <c r="B39" s="6"/>
      <c r="C39" s="6"/>
      <c r="D39" s="6"/>
      <c r="E39" s="6"/>
      <c r="F39" s="6"/>
      <c r="G39" s="6"/>
      <c r="H39" s="6"/>
      <c r="I39" s="7"/>
    </row>
    <row r="40" customFormat="false" ht="15" hidden="false" customHeight="true" outlineLevel="0" collapsed="false">
      <c r="A40" s="5"/>
      <c r="B40" s="6"/>
      <c r="C40" s="6"/>
      <c r="D40" s="6"/>
      <c r="E40" s="6"/>
      <c r="F40" s="6"/>
      <c r="G40" s="6"/>
      <c r="H40" s="6"/>
      <c r="I40" s="7"/>
    </row>
    <row r="41" customFormat="false" ht="15" hidden="false" customHeight="true" outlineLevel="0" collapsed="false">
      <c r="A41" s="5"/>
      <c r="B41" s="6"/>
      <c r="C41" s="6"/>
      <c r="D41" s="6"/>
      <c r="E41" s="6"/>
      <c r="F41" s="6"/>
      <c r="G41" s="6"/>
      <c r="H41" s="6"/>
      <c r="I41" s="7"/>
    </row>
    <row r="42" customFormat="false" ht="15" hidden="false" customHeight="true" outlineLevel="0" collapsed="false">
      <c r="A42" s="21"/>
      <c r="B42" s="22"/>
      <c r="C42" s="23"/>
      <c r="D42" s="23"/>
      <c r="E42" s="23"/>
      <c r="F42" s="23"/>
      <c r="G42" s="23"/>
      <c r="H42" s="23"/>
      <c r="I42" s="24"/>
    </row>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sheetData>
  <mergeCells count="7">
    <mergeCell ref="D7:F14"/>
    <mergeCell ref="A21:I21"/>
    <mergeCell ref="A22:I22"/>
    <mergeCell ref="D23:E23"/>
    <mergeCell ref="D24:E24"/>
    <mergeCell ref="D25:E25"/>
    <mergeCell ref="D26:E26"/>
  </mergeCells>
  <printOptions headings="false" gridLines="false" gridLinesSet="true" horizontalCentered="false" verticalCentered="false"/>
  <pageMargins left="0" right="0" top="0" bottom="0.25" header="0" footer="0"/>
  <pageSetup paperSize="9"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&amp;R#FF8C00مقيد – داخلي_x005F_x000d_&amp;1#&amp;"Courier New,Regular"&amp;10 &amp;K0078d7مقيد – عام</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1000"/>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L1" activeCellId="0" sqref="L1"/>
    </sheetView>
  </sheetViews>
  <sheetFormatPr defaultColWidth="14.4453125" defaultRowHeight="15" zeroHeight="false" outlineLevelRow="0" outlineLevelCol="0"/>
  <cols>
    <col collapsed="false" customWidth="true" hidden="false" outlineLevel="0" max="1" min="1" style="25" width="8.56"/>
    <col collapsed="false" customWidth="true" hidden="false" outlineLevel="0" max="2" min="2" style="25" width="31.88"/>
    <col collapsed="false" customWidth="true" hidden="false" outlineLevel="0" max="3" min="3" style="25" width="8.56"/>
    <col collapsed="false" customWidth="true" hidden="false" outlineLevel="0" max="4" min="4" style="25" width="26.11"/>
    <col collapsed="false" customWidth="true" hidden="false" outlineLevel="0" max="5" min="5" style="25" width="11.56"/>
    <col collapsed="false" customWidth="true" hidden="false" outlineLevel="0" max="6" min="6" style="25" width="19.44"/>
    <col collapsed="false" customWidth="true" hidden="false" outlineLevel="0" max="9" min="7" style="25" width="8.56"/>
    <col collapsed="false" customWidth="true" hidden="false" outlineLevel="0" max="10" min="10" style="25" width="33.56"/>
    <col collapsed="false" customWidth="true" hidden="false" outlineLevel="0" max="11" min="11" style="25" width="8.56"/>
    <col collapsed="false" customWidth="true" hidden="false" outlineLevel="0" max="12" min="12" style="25" width="39.56"/>
    <col collapsed="false" customWidth="true" hidden="false" outlineLevel="0" max="20" min="13" style="25" width="8.56"/>
  </cols>
  <sheetData>
    <row r="1" customFormat="false" ht="14.25" hidden="false" customHeight="true" outlineLevel="0" collapsed="false">
      <c r="B1" s="26" t="s">
        <v>7</v>
      </c>
      <c r="D1" s="26" t="s">
        <v>8</v>
      </c>
      <c r="F1" s="25" t="s">
        <v>9</v>
      </c>
      <c r="H1" s="25" t="n">
        <v>1</v>
      </c>
      <c r="J1" s="27" t="s">
        <v>10</v>
      </c>
      <c r="L1" s="25" t="s">
        <v>11</v>
      </c>
    </row>
    <row r="2" customFormat="false" ht="14.25" hidden="false" customHeight="true" outlineLevel="0" collapsed="false">
      <c r="B2" s="26" t="s">
        <v>12</v>
      </c>
      <c r="D2" s="26" t="s">
        <v>13</v>
      </c>
      <c r="F2" s="25" t="s">
        <v>14</v>
      </c>
      <c r="H2" s="25" t="n">
        <v>2</v>
      </c>
      <c r="J2" s="27" t="s">
        <v>15</v>
      </c>
      <c r="L2" s="25" t="s">
        <v>16</v>
      </c>
    </row>
    <row r="3" customFormat="false" ht="14.25" hidden="false" customHeight="true" outlineLevel="0" collapsed="false">
      <c r="B3" s="26" t="s">
        <v>17</v>
      </c>
      <c r="D3" s="26" t="s">
        <v>18</v>
      </c>
      <c r="F3" s="25" t="s">
        <v>19</v>
      </c>
      <c r="H3" s="25" t="n">
        <v>3</v>
      </c>
      <c r="J3" s="27" t="s">
        <v>20</v>
      </c>
      <c r="L3" s="25" t="s">
        <v>21</v>
      </c>
    </row>
    <row r="4" customFormat="false" ht="14.25" hidden="false" customHeight="true" outlineLevel="0" collapsed="false">
      <c r="B4" s="26" t="s">
        <v>22</v>
      </c>
      <c r="D4" s="26" t="s">
        <v>23</v>
      </c>
      <c r="F4" s="25" t="s">
        <v>3</v>
      </c>
      <c r="H4" s="25" t="n">
        <v>4</v>
      </c>
      <c r="J4" s="27" t="s">
        <v>24</v>
      </c>
      <c r="L4" s="25" t="s">
        <v>25</v>
      </c>
    </row>
    <row r="5" customFormat="false" ht="14.25" hidden="false" customHeight="true" outlineLevel="0" collapsed="false">
      <c r="D5" s="26" t="s">
        <v>26</v>
      </c>
      <c r="F5" s="25" t="s">
        <v>27</v>
      </c>
      <c r="H5" s="25" t="n">
        <v>5</v>
      </c>
      <c r="J5" s="27" t="s">
        <v>28</v>
      </c>
      <c r="L5" s="25" t="s">
        <v>29</v>
      </c>
    </row>
    <row r="6" customFormat="false" ht="14.25" hidden="false" customHeight="true" outlineLevel="0" collapsed="false">
      <c r="J6" s="27" t="s">
        <v>30</v>
      </c>
      <c r="L6" s="25" t="s">
        <v>31</v>
      </c>
    </row>
    <row r="7" customFormat="false" ht="14.25" hidden="false" customHeight="true" outlineLevel="0" collapsed="false">
      <c r="J7" s="27" t="s">
        <v>32</v>
      </c>
      <c r="L7" s="25" t="s">
        <v>33</v>
      </c>
    </row>
    <row r="8" customFormat="false" ht="14.25" hidden="false" customHeight="true" outlineLevel="0" collapsed="false">
      <c r="L8" s="25" t="s">
        <v>34</v>
      </c>
    </row>
    <row r="9" customFormat="false" ht="14.25" hidden="false" customHeight="true" outlineLevel="0" collapsed="false">
      <c r="L9" s="25" t="s">
        <v>35</v>
      </c>
    </row>
    <row r="10" customFormat="false" ht="14.25" hidden="false" customHeight="true" outlineLevel="0" collapsed="false">
      <c r="L10" s="25" t="s">
        <v>36</v>
      </c>
    </row>
    <row r="11" customFormat="false" ht="14.25" hidden="false" customHeight="true" outlineLevel="0" collapsed="false">
      <c r="L11" s="25" t="s">
        <v>37</v>
      </c>
    </row>
    <row r="12" customFormat="false" ht="14.25" hidden="false" customHeight="true" outlineLevel="0" collapsed="false">
      <c r="L12" s="25" t="s">
        <v>38</v>
      </c>
    </row>
    <row r="13" customFormat="false" ht="14.25" hidden="false" customHeight="true" outlineLevel="0" collapsed="false">
      <c r="L13" s="25" t="s">
        <v>39</v>
      </c>
    </row>
    <row r="14" customFormat="false" ht="14.25" hidden="false" customHeight="true" outlineLevel="0" collapsed="false">
      <c r="L14" s="25" t="s">
        <v>40</v>
      </c>
    </row>
    <row r="15" customFormat="false" ht="14.25" hidden="false" customHeight="true" outlineLevel="0" collapsed="false">
      <c r="L15" s="25" t="s">
        <v>41</v>
      </c>
    </row>
    <row r="16" customFormat="false" ht="14.25" hidden="false" customHeight="true" outlineLevel="0" collapsed="false">
      <c r="L16" s="25" t="s">
        <v>42</v>
      </c>
    </row>
    <row r="17" customFormat="false" ht="14.25" hidden="false" customHeight="true" outlineLevel="0" collapsed="false">
      <c r="L17" s="25" t="s">
        <v>43</v>
      </c>
    </row>
    <row r="18" customFormat="false" ht="14.25" hidden="false" customHeight="true" outlineLevel="0" collapsed="false">
      <c r="L18" s="25" t="s">
        <v>44</v>
      </c>
    </row>
    <row r="19" customFormat="false" ht="14.25" hidden="false" customHeight="true" outlineLevel="0" collapsed="false">
      <c r="L19" s="25" t="s">
        <v>45</v>
      </c>
    </row>
    <row r="20" customFormat="false" ht="14.25" hidden="false" customHeight="true" outlineLevel="0" collapsed="false">
      <c r="L20" s="25" t="s">
        <v>46</v>
      </c>
    </row>
    <row r="21" customFormat="false" ht="14.25" hidden="false" customHeight="true" outlineLevel="0" collapsed="false">
      <c r="L21" s="25" t="s">
        <v>47</v>
      </c>
    </row>
    <row r="22" customFormat="false" ht="14.25" hidden="false" customHeight="true" outlineLevel="0" collapsed="false">
      <c r="L22" s="25" t="s">
        <v>48</v>
      </c>
    </row>
    <row r="23" customFormat="false" ht="14.25" hidden="false" customHeight="true" outlineLevel="0" collapsed="false">
      <c r="L23" s="25" t="s">
        <v>49</v>
      </c>
    </row>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 footer="0"/>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&amp;R#FF8C00مقيد – داخلي_x005F_x000d_&amp;1#&amp;"Courier New,Regular"&amp;10 &amp;K0078d7مقيد – عام</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8" activeCellId="0" sqref="F28"/>
    </sheetView>
  </sheetViews>
  <sheetFormatPr defaultColWidth="14.4453125" defaultRowHeight="15" zeroHeight="false" outlineLevelRow="0" outlineLevelCol="0"/>
  <cols>
    <col collapsed="false" customWidth="true" hidden="false" outlineLevel="0" max="1" min="1" style="28" width="8"/>
    <col collapsed="false" customWidth="true" hidden="false" outlineLevel="0" max="6" min="2" style="28" width="16.89"/>
    <col collapsed="false" customWidth="true" hidden="false" outlineLevel="0" max="7" min="7" style="28" width="8"/>
    <col collapsed="false" customWidth="false" hidden="false" outlineLevel="0" max="16384" min="8" style="28" width="14.44"/>
  </cols>
  <sheetData>
    <row r="1" customFormat="false" ht="15" hidden="false" customHeight="true" outlineLevel="0" collapsed="false">
      <c r="A1" s="29"/>
      <c r="B1" s="30"/>
      <c r="C1" s="30"/>
      <c r="D1" s="30"/>
      <c r="E1" s="30"/>
      <c r="F1" s="30"/>
      <c r="G1" s="31"/>
      <c r="H1" s="32"/>
      <c r="I1" s="32"/>
      <c r="J1" s="32"/>
      <c r="K1" s="32"/>
      <c r="L1" s="32"/>
      <c r="M1" s="32"/>
      <c r="N1" s="32"/>
      <c r="O1" s="32"/>
      <c r="P1" s="32"/>
      <c r="Q1" s="32"/>
      <c r="R1" s="32"/>
      <c r="S1" s="32"/>
      <c r="T1" s="32"/>
      <c r="U1" s="32"/>
      <c r="V1" s="32"/>
      <c r="W1" s="32"/>
      <c r="X1" s="32"/>
      <c r="Y1" s="32"/>
      <c r="Z1" s="32"/>
      <c r="AA1" s="32"/>
    </row>
    <row r="2" customFormat="false" ht="15" hidden="false" customHeight="true" outlineLevel="0" collapsed="false">
      <c r="A2" s="33"/>
      <c r="B2" s="34"/>
      <c r="C2" s="34"/>
      <c r="D2" s="34"/>
      <c r="E2" s="34"/>
      <c r="F2" s="34"/>
      <c r="G2" s="35"/>
      <c r="H2" s="32"/>
      <c r="I2" s="32"/>
      <c r="J2" s="32"/>
      <c r="K2" s="32"/>
      <c r="L2" s="32"/>
      <c r="M2" s="32"/>
      <c r="N2" s="32"/>
      <c r="O2" s="32"/>
      <c r="P2" s="32"/>
      <c r="Q2" s="32"/>
      <c r="R2" s="32"/>
      <c r="S2" s="32"/>
      <c r="T2" s="32"/>
      <c r="U2" s="32"/>
      <c r="V2" s="32"/>
      <c r="W2" s="32"/>
      <c r="X2" s="32"/>
      <c r="Y2" s="32"/>
      <c r="Z2" s="32"/>
      <c r="AA2" s="32"/>
    </row>
    <row r="3" customFormat="false" ht="15" hidden="false" customHeight="true" outlineLevel="0" collapsed="false">
      <c r="A3" s="36"/>
      <c r="B3" s="25"/>
      <c r="C3" s="25"/>
      <c r="D3" s="25"/>
      <c r="E3" s="25"/>
      <c r="F3" s="25"/>
      <c r="G3" s="37"/>
      <c r="H3" s="32"/>
      <c r="I3" s="32"/>
      <c r="J3" s="32"/>
      <c r="K3" s="32"/>
      <c r="L3" s="32"/>
      <c r="M3" s="32"/>
      <c r="N3" s="32"/>
      <c r="O3" s="32"/>
      <c r="P3" s="32"/>
      <c r="Q3" s="32"/>
      <c r="R3" s="32"/>
      <c r="S3" s="32"/>
      <c r="T3" s="32"/>
      <c r="U3" s="32"/>
      <c r="V3" s="32"/>
      <c r="W3" s="32"/>
      <c r="X3" s="32"/>
      <c r="Y3" s="32"/>
      <c r="Z3" s="32"/>
      <c r="AA3" s="32"/>
    </row>
    <row r="4" customFormat="false" ht="15" hidden="false" customHeight="true" outlineLevel="0" collapsed="false">
      <c r="A4" s="36"/>
      <c r="B4" s="25"/>
      <c r="C4" s="25"/>
      <c r="D4" s="25"/>
      <c r="E4" s="25"/>
      <c r="F4" s="25"/>
      <c r="G4" s="37"/>
      <c r="H4" s="32"/>
      <c r="I4" s="32"/>
      <c r="J4" s="32"/>
      <c r="K4" s="32"/>
      <c r="L4" s="32"/>
      <c r="M4" s="32"/>
      <c r="N4" s="32"/>
      <c r="O4" s="32"/>
      <c r="P4" s="32"/>
      <c r="Q4" s="32"/>
      <c r="R4" s="32"/>
      <c r="S4" s="32"/>
      <c r="T4" s="32"/>
      <c r="U4" s="32"/>
      <c r="V4" s="32"/>
      <c r="W4" s="32"/>
      <c r="X4" s="32"/>
      <c r="Y4" s="32"/>
      <c r="Z4" s="32"/>
      <c r="AA4" s="32"/>
    </row>
    <row r="5" customFormat="false" ht="15" hidden="false" customHeight="true" outlineLevel="0" collapsed="false">
      <c r="A5" s="36"/>
      <c r="B5" s="25"/>
      <c r="C5" s="25"/>
      <c r="D5" s="25"/>
      <c r="E5" s="25"/>
      <c r="F5" s="25"/>
      <c r="G5" s="37"/>
      <c r="H5" s="32"/>
      <c r="I5" s="32"/>
      <c r="J5" s="32"/>
      <c r="K5" s="32"/>
      <c r="L5" s="32"/>
      <c r="M5" s="32"/>
      <c r="N5" s="32"/>
      <c r="O5" s="32"/>
      <c r="P5" s="32"/>
      <c r="Q5" s="32"/>
      <c r="R5" s="32"/>
      <c r="S5" s="32"/>
      <c r="T5" s="32"/>
      <c r="U5" s="32"/>
      <c r="V5" s="32"/>
      <c r="W5" s="32"/>
      <c r="X5" s="32"/>
      <c r="Y5" s="32"/>
      <c r="Z5" s="32"/>
      <c r="AA5" s="32"/>
    </row>
    <row r="6" customFormat="false" ht="15" hidden="false" customHeight="true" outlineLevel="0" collapsed="false">
      <c r="A6" s="36"/>
      <c r="B6" s="25"/>
      <c r="C6" s="25"/>
      <c r="D6" s="25"/>
      <c r="E6" s="25"/>
      <c r="F6" s="25"/>
      <c r="G6" s="37"/>
      <c r="H6" s="32"/>
      <c r="I6" s="32"/>
      <c r="J6" s="32"/>
      <c r="K6" s="32"/>
      <c r="L6" s="32"/>
      <c r="M6" s="32"/>
      <c r="N6" s="32"/>
      <c r="O6" s="32"/>
      <c r="P6" s="32"/>
      <c r="Q6" s="32"/>
      <c r="R6" s="32"/>
      <c r="S6" s="32"/>
      <c r="T6" s="32"/>
      <c r="U6" s="32"/>
      <c r="V6" s="32"/>
      <c r="W6" s="32"/>
      <c r="X6" s="32"/>
      <c r="Y6" s="32"/>
      <c r="Z6" s="32"/>
      <c r="AA6" s="32"/>
    </row>
    <row r="7" customFormat="false" ht="15" hidden="false" customHeight="true" outlineLevel="0" collapsed="false">
      <c r="A7" s="36"/>
      <c r="B7" s="25"/>
      <c r="C7" s="25"/>
      <c r="D7" s="25"/>
      <c r="E7" s="25"/>
      <c r="F7" s="25"/>
      <c r="G7" s="37"/>
      <c r="H7" s="32"/>
      <c r="I7" s="32"/>
      <c r="J7" s="32"/>
      <c r="K7" s="32"/>
      <c r="L7" s="32"/>
      <c r="M7" s="32"/>
      <c r="N7" s="32"/>
      <c r="O7" s="32"/>
      <c r="P7" s="32"/>
      <c r="Q7" s="32"/>
      <c r="R7" s="32"/>
      <c r="S7" s="32"/>
      <c r="T7" s="32"/>
      <c r="U7" s="32"/>
      <c r="V7" s="32"/>
      <c r="W7" s="32"/>
      <c r="X7" s="32"/>
      <c r="Y7" s="32"/>
      <c r="Z7" s="32"/>
      <c r="AA7" s="32"/>
    </row>
    <row r="8" customFormat="false" ht="15" hidden="false" customHeight="true" outlineLevel="0" collapsed="false">
      <c r="A8" s="33"/>
      <c r="B8" s="38" t="s">
        <v>50</v>
      </c>
      <c r="C8" s="38"/>
      <c r="D8" s="38"/>
      <c r="E8" s="38"/>
      <c r="F8" s="38"/>
      <c r="G8" s="35"/>
      <c r="H8" s="32"/>
      <c r="I8" s="32"/>
      <c r="J8" s="32"/>
      <c r="K8" s="32"/>
      <c r="L8" s="32"/>
      <c r="M8" s="32"/>
      <c r="N8" s="32"/>
      <c r="O8" s="32"/>
      <c r="P8" s="32"/>
      <c r="Q8" s="32"/>
      <c r="R8" s="32"/>
      <c r="S8" s="32"/>
      <c r="T8" s="32"/>
      <c r="U8" s="32"/>
      <c r="V8" s="32"/>
      <c r="W8" s="32"/>
      <c r="X8" s="32"/>
      <c r="Y8" s="32"/>
      <c r="Z8" s="32"/>
      <c r="AA8" s="32"/>
    </row>
    <row r="9" customFormat="false" ht="15" hidden="false" customHeight="true" outlineLevel="0" collapsed="false">
      <c r="A9" s="33"/>
      <c r="B9" s="39" t="s">
        <v>51</v>
      </c>
      <c r="C9" s="39"/>
      <c r="D9" s="39"/>
      <c r="E9" s="39"/>
      <c r="F9" s="39"/>
      <c r="G9" s="35"/>
      <c r="H9" s="32"/>
      <c r="I9" s="32"/>
      <c r="J9" s="32"/>
      <c r="K9" s="32"/>
      <c r="L9" s="32"/>
      <c r="M9" s="32"/>
      <c r="N9" s="32"/>
      <c r="O9" s="32"/>
      <c r="P9" s="32"/>
      <c r="Q9" s="32"/>
      <c r="R9" s="32"/>
      <c r="S9" s="32"/>
      <c r="T9" s="32"/>
      <c r="U9" s="32"/>
      <c r="V9" s="32"/>
      <c r="W9" s="32"/>
      <c r="X9" s="32"/>
      <c r="Y9" s="32"/>
      <c r="Z9" s="32"/>
      <c r="AA9" s="32"/>
    </row>
    <row r="10" customFormat="false" ht="15" hidden="false" customHeight="true" outlineLevel="0" collapsed="false">
      <c r="A10" s="33"/>
      <c r="B10" s="40" t="str">
        <f aca="false">'Cover Page'!F24</f>
        <v>Confidential</v>
      </c>
      <c r="C10" s="40"/>
      <c r="D10" s="40"/>
      <c r="E10" s="40"/>
      <c r="F10" s="40"/>
      <c r="G10" s="35"/>
      <c r="H10" s="32"/>
      <c r="I10" s="32"/>
      <c r="J10" s="32"/>
      <c r="K10" s="32"/>
      <c r="L10" s="32"/>
      <c r="M10" s="32"/>
      <c r="N10" s="32"/>
      <c r="O10" s="32"/>
      <c r="P10" s="32"/>
      <c r="Q10" s="32"/>
      <c r="R10" s="32"/>
      <c r="S10" s="32"/>
      <c r="T10" s="32"/>
      <c r="U10" s="32"/>
      <c r="V10" s="32"/>
      <c r="W10" s="32"/>
      <c r="X10" s="32"/>
      <c r="Y10" s="32"/>
      <c r="Z10" s="32"/>
      <c r="AA10" s="32"/>
    </row>
    <row r="11" customFormat="false" ht="15" hidden="false" customHeight="true" outlineLevel="0" collapsed="false">
      <c r="A11" s="33"/>
      <c r="B11" s="41"/>
      <c r="C11" s="41"/>
      <c r="D11" s="41"/>
      <c r="E11" s="41"/>
      <c r="F11" s="41"/>
      <c r="G11" s="35"/>
      <c r="H11" s="32"/>
      <c r="I11" s="32"/>
      <c r="J11" s="32"/>
      <c r="K11" s="32"/>
      <c r="L11" s="32"/>
      <c r="M11" s="32"/>
      <c r="N11" s="32"/>
      <c r="O11" s="32"/>
      <c r="P11" s="32"/>
      <c r="Q11" s="32"/>
      <c r="R11" s="32"/>
      <c r="S11" s="32"/>
      <c r="T11" s="32"/>
      <c r="U11" s="32"/>
      <c r="V11" s="32"/>
      <c r="W11" s="32"/>
      <c r="X11" s="32"/>
      <c r="Y11" s="32"/>
      <c r="Z11" s="32"/>
      <c r="AA11" s="32"/>
    </row>
    <row r="12" customFormat="false" ht="15" hidden="false" customHeight="true" outlineLevel="0" collapsed="false">
      <c r="A12" s="33"/>
      <c r="B12" s="39" t="s">
        <v>52</v>
      </c>
      <c r="C12" s="39"/>
      <c r="D12" s="39"/>
      <c r="E12" s="39"/>
      <c r="F12" s="39"/>
      <c r="G12" s="35"/>
      <c r="H12" s="32"/>
      <c r="I12" s="32"/>
      <c r="J12" s="32"/>
      <c r="K12" s="32"/>
      <c r="L12" s="32"/>
      <c r="M12" s="32"/>
      <c r="N12" s="32"/>
      <c r="O12" s="32"/>
      <c r="P12" s="32"/>
      <c r="Q12" s="32"/>
      <c r="R12" s="32"/>
      <c r="S12" s="32"/>
      <c r="T12" s="32"/>
      <c r="U12" s="32"/>
      <c r="V12" s="32"/>
      <c r="W12" s="32"/>
      <c r="X12" s="32"/>
      <c r="Y12" s="32"/>
      <c r="Z12" s="32"/>
      <c r="AA12" s="32"/>
    </row>
    <row r="13" customFormat="false" ht="15" hidden="false" customHeight="true" outlineLevel="0" collapsed="false">
      <c r="A13" s="33"/>
      <c r="B13" s="42" t="s">
        <v>53</v>
      </c>
      <c r="C13" s="43" t="s">
        <v>54</v>
      </c>
      <c r="D13" s="42" t="s">
        <v>55</v>
      </c>
      <c r="E13" s="42" t="s">
        <v>56</v>
      </c>
      <c r="F13" s="42"/>
      <c r="G13" s="35"/>
      <c r="H13" s="32"/>
      <c r="I13" s="32"/>
      <c r="J13" s="32"/>
      <c r="K13" s="32"/>
      <c r="L13" s="32"/>
      <c r="M13" s="32"/>
      <c r="N13" s="32"/>
      <c r="O13" s="32"/>
      <c r="P13" s="32"/>
      <c r="Q13" s="32"/>
      <c r="R13" s="32"/>
      <c r="S13" s="32"/>
      <c r="T13" s="32"/>
      <c r="U13" s="32"/>
      <c r="V13" s="32"/>
      <c r="W13" s="32"/>
      <c r="X13" s="32"/>
      <c r="Y13" s="32"/>
      <c r="Z13" s="32"/>
      <c r="AA13" s="32"/>
    </row>
    <row r="14" customFormat="false" ht="15" hidden="false" customHeight="true" outlineLevel="0" collapsed="false">
      <c r="A14" s="33"/>
      <c r="B14" s="44" t="n">
        <v>1</v>
      </c>
      <c r="C14" s="45" t="n">
        <v>46207</v>
      </c>
      <c r="D14" s="44" t="s">
        <v>57</v>
      </c>
      <c r="E14" s="41" t="s">
        <v>58</v>
      </c>
      <c r="F14" s="41"/>
      <c r="G14" s="35"/>
      <c r="H14" s="32"/>
      <c r="I14" s="32"/>
      <c r="J14" s="32"/>
      <c r="K14" s="32"/>
      <c r="L14" s="32"/>
      <c r="M14" s="32"/>
      <c r="N14" s="32"/>
      <c r="O14" s="32"/>
      <c r="P14" s="32"/>
      <c r="Q14" s="32"/>
      <c r="R14" s="32"/>
      <c r="S14" s="32"/>
      <c r="T14" s="32"/>
      <c r="U14" s="32"/>
      <c r="V14" s="32"/>
      <c r="W14" s="32"/>
      <c r="X14" s="32"/>
      <c r="Y14" s="32"/>
      <c r="Z14" s="32"/>
      <c r="AA14" s="32"/>
    </row>
    <row r="15" customFormat="false" ht="15" hidden="false" customHeight="true" outlineLevel="0" collapsed="false">
      <c r="A15" s="33"/>
      <c r="B15" s="44"/>
      <c r="C15" s="45"/>
      <c r="D15" s="44"/>
      <c r="E15" s="41"/>
      <c r="F15" s="41"/>
      <c r="G15" s="35"/>
      <c r="H15" s="32"/>
      <c r="I15" s="32"/>
      <c r="J15" s="32"/>
      <c r="K15" s="32"/>
      <c r="L15" s="32"/>
      <c r="M15" s="32"/>
      <c r="N15" s="32"/>
      <c r="O15" s="32"/>
      <c r="P15" s="32"/>
      <c r="Q15" s="32"/>
      <c r="R15" s="32"/>
      <c r="S15" s="32"/>
      <c r="T15" s="32"/>
      <c r="U15" s="32"/>
      <c r="V15" s="32"/>
      <c r="W15" s="32"/>
      <c r="X15" s="32"/>
      <c r="Y15" s="32"/>
      <c r="Z15" s="32"/>
      <c r="AA15" s="32"/>
    </row>
    <row r="16" customFormat="false" ht="15" hidden="false" customHeight="true" outlineLevel="0" collapsed="false">
      <c r="A16" s="33"/>
      <c r="B16" s="44"/>
      <c r="C16" s="45"/>
      <c r="D16" s="44"/>
      <c r="E16" s="41"/>
      <c r="F16" s="41"/>
      <c r="G16" s="35"/>
      <c r="H16" s="32"/>
      <c r="I16" s="32"/>
      <c r="J16" s="32"/>
      <c r="K16" s="32"/>
      <c r="L16" s="32"/>
      <c r="M16" s="32"/>
      <c r="N16" s="32"/>
      <c r="O16" s="32"/>
      <c r="P16" s="32"/>
      <c r="Q16" s="32"/>
      <c r="R16" s="32"/>
      <c r="S16" s="32"/>
      <c r="T16" s="32"/>
      <c r="U16" s="32"/>
      <c r="V16" s="32"/>
      <c r="W16" s="32"/>
      <c r="X16" s="32"/>
      <c r="Y16" s="32"/>
      <c r="Z16" s="32"/>
      <c r="AA16" s="32"/>
    </row>
    <row r="17" customFormat="false" ht="15" hidden="false" customHeight="true" outlineLevel="0" collapsed="false">
      <c r="A17" s="33"/>
      <c r="B17" s="44"/>
      <c r="C17" s="45"/>
      <c r="D17" s="44"/>
      <c r="E17" s="41"/>
      <c r="F17" s="41"/>
      <c r="G17" s="35"/>
      <c r="H17" s="32"/>
      <c r="I17" s="32"/>
      <c r="J17" s="32"/>
      <c r="K17" s="32"/>
      <c r="L17" s="32"/>
      <c r="M17" s="32"/>
      <c r="N17" s="32"/>
      <c r="O17" s="32"/>
      <c r="P17" s="32"/>
      <c r="Q17" s="32"/>
      <c r="R17" s="32"/>
      <c r="S17" s="32"/>
      <c r="T17" s="32"/>
      <c r="U17" s="32"/>
      <c r="V17" s="32"/>
      <c r="W17" s="32"/>
      <c r="X17" s="32"/>
      <c r="Y17" s="32"/>
      <c r="Z17" s="32"/>
      <c r="AA17" s="32"/>
    </row>
    <row r="18" customFormat="false" ht="15" hidden="false" customHeight="true" outlineLevel="0" collapsed="false">
      <c r="A18" s="33"/>
      <c r="B18" s="34"/>
      <c r="C18" s="34"/>
      <c r="D18" s="25"/>
      <c r="E18" s="25"/>
      <c r="F18" s="25"/>
      <c r="G18" s="35"/>
      <c r="H18" s="32"/>
      <c r="I18" s="32"/>
      <c r="J18" s="32"/>
      <c r="K18" s="32"/>
      <c r="L18" s="32"/>
      <c r="M18" s="32"/>
      <c r="N18" s="32"/>
      <c r="O18" s="32"/>
      <c r="P18" s="32"/>
      <c r="Q18" s="32"/>
      <c r="R18" s="32"/>
      <c r="S18" s="32"/>
      <c r="T18" s="32"/>
      <c r="U18" s="32"/>
      <c r="V18" s="32"/>
      <c r="W18" s="32"/>
      <c r="X18" s="32"/>
      <c r="Y18" s="32"/>
      <c r="Z18" s="32"/>
      <c r="AA18" s="32"/>
    </row>
    <row r="19" customFormat="false" ht="15" hidden="false" customHeight="true" outlineLevel="0" collapsed="false">
      <c r="A19" s="46"/>
      <c r="B19" s="47"/>
      <c r="C19" s="47"/>
      <c r="D19" s="47"/>
      <c r="E19" s="47"/>
      <c r="F19" s="47"/>
      <c r="G19" s="48"/>
      <c r="H19" s="32"/>
      <c r="I19" s="32"/>
      <c r="J19" s="32"/>
      <c r="K19" s="32"/>
      <c r="L19" s="32"/>
      <c r="M19" s="32"/>
      <c r="N19" s="32"/>
      <c r="O19" s="32"/>
      <c r="P19" s="32"/>
      <c r="Q19" s="32"/>
      <c r="R19" s="32"/>
      <c r="S19" s="32"/>
      <c r="T19" s="32"/>
      <c r="U19" s="32"/>
      <c r="V19" s="32"/>
      <c r="W19" s="32"/>
      <c r="X19" s="32"/>
      <c r="Y19" s="32"/>
      <c r="Z19" s="32"/>
      <c r="AA19" s="32"/>
    </row>
    <row r="20" customFormat="false" ht="14.25" hidden="false" customHeight="true" outlineLevel="0" collapsed="false">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row>
    <row r="21" customFormat="false" ht="14.25" hidden="false" customHeight="true" outlineLevel="0" collapsed="false">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row>
    <row r="22" customFormat="false" ht="14.25" hidden="false" customHeight="true" outlineLevel="0" collapsed="false">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row>
    <row r="23" customFormat="false" ht="14.25" hidden="false" customHeight="true" outlineLevel="0" collapsed="false">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row>
    <row r="24" customFormat="false" ht="14.25" hidden="false" customHeight="true" outlineLevel="0" collapsed="false">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row>
    <row r="25" customFormat="false" ht="14.25" hidden="false" customHeight="true" outlineLevel="0" collapsed="false">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row>
    <row r="26" customFormat="false" ht="14.25" hidden="false" customHeight="true" outlineLevel="0" collapsed="false">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row>
    <row r="27" customFormat="false" ht="14.25" hidden="false" customHeight="true" outlineLevel="0" collapsed="false">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row>
    <row r="28" customFormat="false" ht="14.25" hidden="false" customHeight="true" outlineLevel="0" collapsed="false">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row>
    <row r="29" customFormat="false" ht="14.25" hidden="false" customHeight="true" outlineLevel="0" collapsed="false">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row>
    <row r="30" customFormat="false" ht="14.25" hidden="false" customHeight="true" outlineLevel="0" collapsed="false">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row>
    <row r="31" customFormat="false" ht="14.25" hidden="false" customHeight="true" outlineLevel="0" collapsed="false">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row>
    <row r="32" customFormat="false" ht="14.25" hidden="false" customHeight="true" outlineLevel="0" collapsed="false">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row>
    <row r="33" customFormat="false" ht="14.25" hidden="false" customHeight="true" outlineLevel="0" collapsed="false">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row>
    <row r="34" customFormat="false" ht="14.25" hidden="false" customHeight="true" outlineLevel="0" collapsed="false">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row>
    <row r="35" customFormat="false" ht="14.25" hidden="false" customHeight="true" outlineLevel="0" collapsed="false">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row>
    <row r="36" customFormat="false" ht="14.25" hidden="false" customHeight="true" outlineLevel="0" collapsed="false">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row>
    <row r="37" customFormat="false" ht="14.25" hidden="false" customHeight="tru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row>
    <row r="38" customFormat="false" ht="14.25" hidden="false" customHeight="tru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row>
    <row r="39" customFormat="false" ht="14.25" hidden="false" customHeight="tru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row>
    <row r="40" customFormat="false" ht="14.25" hidden="false" customHeight="tru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row>
    <row r="41" customFormat="false" ht="14.25" hidden="false" customHeight="true" outlineLevel="0" collapsed="false">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row>
    <row r="42" customFormat="false" ht="14.25" hidden="false" customHeight="true" outlineLevel="0" collapsed="false">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row>
    <row r="43" customFormat="false" ht="14.25" hidden="false" customHeight="true" outlineLevel="0" collapsed="false">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row>
    <row r="44" customFormat="false" ht="14.25" hidden="false" customHeight="true" outlineLevel="0" collapsed="false">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row>
    <row r="45" customFormat="false" ht="14.25" hidden="false" customHeight="true" outlineLevel="0" collapsed="false">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row>
    <row r="46" customFormat="false" ht="14.25" hidden="false" customHeight="true" outlineLevel="0" collapsed="false">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row>
    <row r="47" customFormat="false" ht="14.25" hidden="false" customHeight="true" outlineLevel="0" collapsed="false">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row>
    <row r="48" customFormat="false" ht="14.25" hidden="false" customHeight="true" outlineLevel="0" collapsed="false">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row>
    <row r="49" customFormat="false" ht="14.25" hidden="false" customHeight="true" outlineLevel="0" collapsed="false">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row>
    <row r="50" customFormat="false" ht="14.25" hidden="false" customHeight="true" outlineLevel="0" collapsed="false">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row>
    <row r="51" customFormat="false" ht="14.25" hidden="false" customHeight="true" outlineLevel="0" collapsed="false">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row>
    <row r="52" customFormat="false" ht="14.25" hidden="false" customHeight="true" outlineLevel="0" collapsed="false">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row>
    <row r="53" customFormat="false" ht="14.25" hidden="false" customHeight="true" outlineLevel="0" collapsed="false">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row>
    <row r="54" customFormat="false" ht="14.25" hidden="false" customHeight="true" outlineLevel="0" collapsed="false">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row>
    <row r="55" customFormat="false" ht="14.25" hidden="false" customHeight="true" outlineLevel="0" collapsed="false">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row>
    <row r="56" customFormat="false" ht="14.25" hidden="false" customHeight="true" outlineLevel="0" collapsed="false">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row>
    <row r="57" customFormat="false" ht="14.25" hidden="false" customHeight="true" outlineLevel="0" collapsed="false">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row>
    <row r="58" customFormat="false" ht="14.25" hidden="false" customHeight="true" outlineLevel="0" collapsed="false">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row>
    <row r="59" customFormat="false" ht="14.25" hidden="false" customHeight="true" outlineLevel="0" collapsed="false">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row>
    <row r="60" customFormat="false" ht="14.25" hidden="false" customHeight="true" outlineLevel="0" collapsed="false">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row>
    <row r="61" customFormat="false" ht="14.25" hidden="false" customHeight="true" outlineLevel="0" collapsed="false">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row>
    <row r="62" customFormat="false" ht="14.25" hidden="false" customHeight="true" outlineLevel="0" collapsed="false">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row>
    <row r="63" customFormat="false" ht="14.25" hidden="false" customHeight="true" outlineLevel="0" collapsed="false">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row>
    <row r="64" customFormat="false" ht="14.25" hidden="false" customHeight="true" outlineLevel="0" collapsed="false">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row>
    <row r="65" customFormat="false" ht="14.25" hidden="false" customHeight="true" outlineLevel="0" collapsed="false">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row>
    <row r="66" customFormat="false" ht="14.25" hidden="false" customHeight="true" outlineLevel="0" collapsed="false">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row>
    <row r="67" customFormat="false" ht="14.25" hidden="false" customHeight="true" outlineLevel="0" collapsed="false">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row>
    <row r="68" customFormat="false" ht="14.25" hidden="false" customHeight="true" outlineLevel="0" collapsed="false">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row>
    <row r="69" customFormat="false" ht="14.25" hidden="false" customHeight="true" outlineLevel="0" collapsed="false">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row>
    <row r="70" customFormat="false" ht="14.25" hidden="false" customHeight="true" outlineLevel="0" collapsed="false">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row>
    <row r="71" customFormat="false" ht="14.25" hidden="false" customHeight="true" outlineLevel="0" collapsed="false">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row>
    <row r="72" customFormat="false" ht="14.25" hidden="false" customHeight="true" outlineLevel="0" collapsed="false">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row>
    <row r="73" customFormat="false" ht="14.25" hidden="false" customHeight="true" outlineLevel="0" collapsed="false">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row>
    <row r="74" customFormat="false" ht="14.25" hidden="false" customHeight="true" outlineLevel="0" collapsed="false">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row>
    <row r="75" customFormat="false" ht="14.25" hidden="false" customHeight="true" outlineLevel="0" collapsed="false">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row>
    <row r="76" customFormat="false" ht="14.25" hidden="false" customHeight="true" outlineLevel="0" collapsed="false">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row>
    <row r="77" customFormat="false" ht="14.25" hidden="false" customHeight="true" outlineLevel="0" collapsed="false">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row>
    <row r="78" customFormat="false" ht="14.25" hidden="false" customHeight="true" outlineLevel="0" collapsed="false">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row>
    <row r="79" customFormat="false" ht="14.25" hidden="false" customHeight="true" outlineLevel="0" collapsed="false">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row>
    <row r="80" customFormat="false" ht="14.25" hidden="false" customHeight="true" outlineLevel="0" collapsed="false">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row>
    <row r="81" customFormat="false" ht="14.25" hidden="false" customHeight="true" outlineLevel="0" collapsed="false">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row>
    <row r="82" customFormat="false" ht="14.25" hidden="false" customHeight="true" outlineLevel="0" collapsed="false">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row>
    <row r="83" customFormat="false" ht="14.25" hidden="false" customHeight="true" outlineLevel="0" collapsed="false">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row>
    <row r="84" customFormat="false" ht="14.25" hidden="false" customHeight="true" outlineLevel="0" collapsed="false">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row>
    <row r="85" customFormat="false" ht="14.25" hidden="false" customHeight="true" outlineLevel="0" collapsed="false">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row>
    <row r="86" customFormat="false" ht="14.25" hidden="false" customHeight="true" outlineLevel="0" collapsed="false">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row>
    <row r="87" customFormat="false" ht="14.25" hidden="false" customHeight="true" outlineLevel="0" collapsed="false">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row>
    <row r="88" customFormat="false" ht="14.25" hidden="false" customHeight="true" outlineLevel="0" collapsed="false">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row>
    <row r="89" customFormat="false" ht="14.25" hidden="false" customHeight="true" outlineLevel="0" collapsed="false">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row>
    <row r="90" customFormat="false" ht="14.25" hidden="false" customHeight="true" outlineLevel="0" collapsed="false">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row>
    <row r="91" customFormat="false" ht="14.25" hidden="false" customHeight="true" outlineLevel="0" collapsed="false">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row>
    <row r="92" customFormat="false" ht="14.25" hidden="false" customHeight="true" outlineLevel="0" collapsed="false">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row>
    <row r="93" customFormat="false" ht="14.25" hidden="false" customHeight="true" outlineLevel="0" collapsed="false">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row>
    <row r="94" customFormat="false" ht="14.25" hidden="false" customHeight="true" outlineLevel="0" collapsed="false">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row>
    <row r="95" customFormat="false" ht="14.25" hidden="false" customHeight="true" outlineLevel="0" collapsed="false">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row>
    <row r="96" customFormat="false" ht="14.25" hidden="false" customHeight="true" outlineLevel="0" collapsed="false">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row>
    <row r="97" customFormat="false" ht="14.25" hidden="false" customHeight="true" outlineLevel="0" collapsed="false">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row>
    <row r="98" customFormat="false" ht="14.25" hidden="false" customHeight="true" outlineLevel="0" collapsed="false">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row>
    <row r="99" customFormat="false" ht="14.25" hidden="false" customHeight="true" outlineLevel="0" collapsed="false">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row>
    <row r="100" customFormat="false" ht="14.25" hidden="false" customHeight="true" outlineLevel="0" collapsed="false">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row>
    <row r="101" customFormat="false" ht="14.25" hidden="false" customHeight="true" outlineLevel="0" collapsed="false">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row>
    <row r="102" customFormat="false" ht="14.25" hidden="false" customHeight="true" outlineLevel="0" collapsed="false">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row>
    <row r="103" customFormat="false" ht="14.25" hidden="false" customHeight="true" outlineLevel="0" collapsed="false">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row>
    <row r="104" customFormat="false" ht="14.25" hidden="false" customHeight="true" outlineLevel="0" collapsed="false">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row>
    <row r="105" customFormat="false" ht="14.25" hidden="false" customHeight="true" outlineLevel="0" collapsed="false">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row>
    <row r="106" customFormat="false" ht="14.25" hidden="false" customHeight="true" outlineLevel="0" collapsed="false">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row>
    <row r="107" customFormat="false" ht="14.25" hidden="false" customHeight="true" outlineLevel="0" collapsed="false">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row>
    <row r="108" customFormat="false" ht="14.25" hidden="false" customHeight="true" outlineLevel="0" collapsed="false">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row>
    <row r="109" customFormat="false" ht="14.25" hidden="false" customHeight="true" outlineLevel="0" collapsed="false">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row>
    <row r="110" customFormat="false" ht="14.25" hidden="false" customHeight="true" outlineLevel="0" collapsed="false">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row>
    <row r="111" customFormat="false" ht="14.25" hidden="false" customHeight="true" outlineLevel="0" collapsed="false">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row>
    <row r="112" customFormat="false" ht="14.25" hidden="false" customHeight="true" outlineLevel="0" collapsed="false">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row>
    <row r="113" customFormat="false" ht="14.25" hidden="false" customHeight="true" outlineLevel="0" collapsed="false">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row>
    <row r="114" customFormat="false" ht="14.25" hidden="false" customHeight="true" outlineLevel="0" collapsed="false">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row>
    <row r="115" customFormat="false" ht="14.25" hidden="false" customHeight="true" outlineLevel="0" collapsed="false">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row>
    <row r="116" customFormat="false" ht="14.25" hidden="false" customHeight="true" outlineLevel="0" collapsed="false">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row>
    <row r="117" customFormat="false" ht="14.25" hidden="false" customHeight="true" outlineLevel="0" collapsed="false">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row>
    <row r="118" customFormat="false" ht="14.25" hidden="false" customHeight="true" outlineLevel="0" collapsed="false">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row>
    <row r="119" customFormat="false" ht="14.25" hidden="false" customHeight="true" outlineLevel="0" collapsed="false">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row>
    <row r="120" customFormat="false" ht="14.25" hidden="false" customHeight="true" outlineLevel="0" collapsed="false">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row>
    <row r="121" customFormat="false" ht="14.25" hidden="false" customHeight="true" outlineLevel="0" collapsed="false">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row>
    <row r="122" customFormat="false" ht="14.25" hidden="false" customHeight="true" outlineLevel="0" collapsed="false">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row>
    <row r="123" customFormat="false" ht="14.25" hidden="false" customHeight="true" outlineLevel="0" collapsed="false">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row>
    <row r="124" customFormat="false" ht="14.25" hidden="false" customHeight="true" outlineLevel="0" collapsed="false">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row>
    <row r="125" customFormat="false" ht="14.25" hidden="false" customHeight="true" outlineLevel="0" collapsed="false">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row>
    <row r="126" customFormat="false" ht="14.25" hidden="false" customHeight="true" outlineLevel="0" collapsed="false">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row>
    <row r="127" customFormat="false" ht="14.25" hidden="false" customHeight="true" outlineLevel="0" collapsed="false">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row>
    <row r="128" customFormat="false" ht="14.25" hidden="false" customHeight="true" outlineLevel="0" collapsed="false">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row>
    <row r="129" customFormat="false" ht="14.25" hidden="false" customHeight="true" outlineLevel="0" collapsed="false">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row>
    <row r="130" customFormat="false" ht="14.25" hidden="false" customHeight="true" outlineLevel="0" collapsed="false">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row>
    <row r="131" customFormat="false" ht="14.25" hidden="false" customHeight="true" outlineLevel="0" collapsed="false">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row>
    <row r="132" customFormat="false" ht="14.25" hidden="false" customHeight="true" outlineLevel="0" collapsed="false">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row>
    <row r="133" customFormat="false" ht="14.25" hidden="false" customHeight="true" outlineLevel="0" collapsed="false">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row>
    <row r="134" customFormat="false" ht="14.25" hidden="false" customHeight="true" outlineLevel="0" collapsed="false">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row>
    <row r="135" customFormat="false" ht="14.25" hidden="false" customHeight="true" outlineLevel="0" collapsed="false">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row>
    <row r="136" customFormat="false" ht="14.25" hidden="false" customHeight="true" outlineLevel="0" collapsed="false">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row>
    <row r="137" customFormat="false" ht="14.25" hidden="false" customHeight="true" outlineLevel="0" collapsed="false">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row>
    <row r="138" customFormat="false" ht="14.25" hidden="false" customHeight="true" outlineLevel="0" collapsed="false">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row>
    <row r="139" customFormat="false" ht="14.25" hidden="false" customHeight="true" outlineLevel="0" collapsed="false">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row>
    <row r="140" customFormat="false" ht="14.25" hidden="false" customHeight="true" outlineLevel="0" collapsed="false">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row>
    <row r="141" customFormat="false" ht="14.25" hidden="false" customHeight="true" outlineLevel="0" collapsed="false">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row>
    <row r="142" customFormat="false" ht="14.25" hidden="false" customHeight="true" outlineLevel="0" collapsed="false">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row>
    <row r="143" customFormat="false" ht="14.25" hidden="false" customHeight="true" outlineLevel="0" collapsed="false">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row>
    <row r="144" customFormat="false" ht="14.25" hidden="false" customHeight="true" outlineLevel="0" collapsed="false">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row>
    <row r="145" customFormat="false" ht="14.25" hidden="false" customHeight="true" outlineLevel="0" collapsed="false">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row>
    <row r="146" customFormat="false" ht="14.25" hidden="false" customHeight="true" outlineLevel="0" collapsed="false">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row>
    <row r="147" customFormat="false" ht="14.25" hidden="false" customHeight="true" outlineLevel="0" collapsed="false">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row>
    <row r="148" customFormat="false" ht="14.25" hidden="false" customHeight="true" outlineLevel="0" collapsed="false">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row>
    <row r="149" customFormat="false" ht="14.25" hidden="false" customHeight="true" outlineLevel="0" collapsed="false">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row>
    <row r="150" customFormat="false" ht="14.25" hidden="false" customHeight="true" outlineLevel="0" collapsed="false">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row>
    <row r="151" customFormat="false" ht="14.25" hidden="false" customHeight="true" outlineLevel="0" collapsed="false">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row>
    <row r="152" customFormat="false" ht="14.25" hidden="false" customHeight="true" outlineLevel="0" collapsed="false">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row>
    <row r="153" customFormat="false" ht="14.25" hidden="false" customHeight="true" outlineLevel="0" collapsed="false">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row>
    <row r="154" customFormat="false" ht="14.25" hidden="false" customHeight="true" outlineLevel="0" collapsed="false">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row>
    <row r="155" customFormat="false" ht="14.25" hidden="false" customHeight="true" outlineLevel="0" collapsed="false">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customFormat="false" ht="14.25" hidden="false" customHeight="true" outlineLevel="0" collapsed="false">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customFormat="false" ht="14.25" hidden="false" customHeight="true" outlineLevel="0" collapsed="false">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customFormat="false" ht="14.25" hidden="false" customHeight="true" outlineLevel="0" collapsed="false">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customFormat="false" ht="14.25" hidden="false" customHeight="true" outlineLevel="0" collapsed="false">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customFormat="false" ht="14.25" hidden="false" customHeight="true" outlineLevel="0" collapsed="false">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customFormat="false" ht="14.25" hidden="false" customHeight="true" outlineLevel="0" collapsed="false">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customFormat="false" ht="14.25" hidden="false" customHeight="true" outlineLevel="0" collapsed="false">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customFormat="false" ht="14.25" hidden="false" customHeight="true" outlineLevel="0" collapsed="false">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customFormat="false" ht="14.25" hidden="false" customHeight="true" outlineLevel="0" collapsed="false">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customFormat="false" ht="14.25" hidden="false" customHeight="true" outlineLevel="0" collapsed="false">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customFormat="false" ht="14.25" hidden="false" customHeight="true" outlineLevel="0" collapsed="false">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customFormat="false" ht="14.25" hidden="false" customHeight="true" outlineLevel="0" collapsed="false">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customFormat="false" ht="14.25" hidden="false" customHeight="true" outlineLevel="0" collapsed="false">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customFormat="false" ht="14.25" hidden="false" customHeight="true" outlineLevel="0" collapsed="false">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customFormat="false" ht="14.25" hidden="false" customHeight="true" outlineLevel="0" collapsed="false">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customFormat="false" ht="14.25" hidden="false" customHeight="true" outlineLevel="0" collapsed="false">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customFormat="false" ht="14.25" hidden="false" customHeight="true" outlineLevel="0" collapsed="false">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customFormat="false" ht="14.25" hidden="false" customHeight="true" outlineLevel="0" collapsed="false">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customFormat="false" ht="14.25" hidden="false" customHeight="true" outlineLevel="0" collapsed="false">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customFormat="false" ht="14.25" hidden="false" customHeight="true" outlineLevel="0" collapsed="false">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customFormat="false" ht="14.25" hidden="false" customHeight="true" outlineLevel="0" collapsed="false">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customFormat="false" ht="14.25" hidden="false" customHeight="true" outlineLevel="0" collapsed="false">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customFormat="false" ht="14.25" hidden="false" customHeight="true" outlineLevel="0" collapsed="false">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customFormat="false" ht="14.25" hidden="false" customHeight="true" outlineLevel="0" collapsed="false">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customFormat="false" ht="14.25" hidden="false" customHeight="true" outlineLevel="0" collapsed="false">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row r="181" customFormat="false" ht="14.25" hidden="false" customHeight="true" outlineLevel="0" collapsed="false">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row>
    <row r="182" customFormat="false" ht="14.25" hidden="false" customHeight="true" outlineLevel="0" collapsed="false">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row>
    <row r="183" customFormat="false" ht="14.25" hidden="false" customHeight="true" outlineLevel="0" collapsed="false">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row>
    <row r="184" customFormat="false" ht="14.25" hidden="false" customHeight="true" outlineLevel="0" collapsed="false">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row>
    <row r="185" customFormat="false" ht="14.25" hidden="false" customHeight="true" outlineLevel="0" collapsed="false">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row>
    <row r="186" customFormat="false" ht="14.25" hidden="false" customHeight="true" outlineLevel="0" collapsed="false">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row>
    <row r="187" customFormat="false" ht="14.25" hidden="false" customHeight="true" outlineLevel="0" collapsed="false">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row>
    <row r="188" customFormat="false" ht="14.25" hidden="false" customHeight="true" outlineLevel="0" collapsed="false">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row>
    <row r="189" customFormat="false" ht="14.25" hidden="false" customHeight="true" outlineLevel="0" collapsed="false">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row>
    <row r="190" customFormat="false" ht="14.25" hidden="false" customHeight="true" outlineLevel="0" collapsed="false">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customFormat="false" ht="14.25" hidden="false" customHeight="true" outlineLevel="0" collapsed="false">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row>
    <row r="192" customFormat="false" ht="14.25" hidden="false" customHeight="true" outlineLevel="0" collapsed="false">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row>
    <row r="193" customFormat="false" ht="14.25" hidden="false" customHeight="true" outlineLevel="0" collapsed="false">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row>
    <row r="194" customFormat="false" ht="14.25" hidden="false" customHeight="true" outlineLevel="0" collapsed="false">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row>
    <row r="195" customFormat="false" ht="14.25" hidden="false" customHeight="true" outlineLevel="0" collapsed="false">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row>
    <row r="196" customFormat="false" ht="14.25" hidden="false" customHeight="true" outlineLevel="0" collapsed="false">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row>
    <row r="197" customFormat="false" ht="14.25" hidden="false" customHeight="true" outlineLevel="0" collapsed="false">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row>
    <row r="198" customFormat="false" ht="14.25" hidden="false" customHeight="true" outlineLevel="0" collapsed="false">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row>
    <row r="199" customFormat="false" ht="14.25" hidden="false" customHeight="true" outlineLevel="0" collapsed="false">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row>
    <row r="200" customFormat="false" ht="14.25" hidden="false" customHeight="true" outlineLevel="0" collapsed="false">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row>
    <row r="201" customFormat="false" ht="14.25" hidden="false" customHeight="true" outlineLevel="0" collapsed="false">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row>
    <row r="202" customFormat="false" ht="14.25" hidden="false" customHeight="true" outlineLevel="0" collapsed="false">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row>
    <row r="203" customFormat="false" ht="14.25" hidden="false" customHeight="true" outlineLevel="0" collapsed="false">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row>
    <row r="204" customFormat="false" ht="14.25" hidden="false" customHeight="true" outlineLevel="0" collapsed="false">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row>
    <row r="205" customFormat="false" ht="14.25" hidden="false" customHeight="true" outlineLevel="0" collapsed="false">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row>
    <row r="206" customFormat="false" ht="14.25" hidden="false" customHeight="true" outlineLevel="0" collapsed="false">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row>
    <row r="207" customFormat="false" ht="14.25" hidden="false" customHeight="true" outlineLevel="0" collapsed="false">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row>
    <row r="208" customFormat="false" ht="14.25" hidden="false" customHeight="true" outlineLevel="0" collapsed="false">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row>
    <row r="209" customFormat="false" ht="14.25" hidden="false" customHeight="true" outlineLevel="0" collapsed="false">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row>
    <row r="210" customFormat="false" ht="14.25" hidden="false" customHeight="true" outlineLevel="0" collapsed="false">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row>
    <row r="211" customFormat="false" ht="14.25" hidden="false" customHeight="true" outlineLevel="0" collapsed="false">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row>
    <row r="212" customFormat="false" ht="14.25" hidden="false" customHeight="true" outlineLevel="0" collapsed="false">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row>
    <row r="213" customFormat="false" ht="14.25" hidden="false" customHeight="true" outlineLevel="0" collapsed="false">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row>
    <row r="214" customFormat="false" ht="14.25" hidden="false" customHeight="true" outlineLevel="0" collapsed="false">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row>
    <row r="215" customFormat="false" ht="14.25" hidden="false" customHeight="true" outlineLevel="0" collapsed="false">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row>
    <row r="216" customFormat="false" ht="14.25" hidden="false" customHeight="true" outlineLevel="0" collapsed="false">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row>
    <row r="217" customFormat="false" ht="14.25" hidden="false" customHeight="true" outlineLevel="0" collapsed="false">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customFormat="false" ht="14.25" hidden="false" customHeight="true" outlineLevel="0" collapsed="false">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customFormat="false" ht="14.25" hidden="false" customHeight="true" outlineLevel="0" collapsed="false">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customFormat="false" ht="14.25" hidden="false" customHeight="true" outlineLevel="0" collapsed="false">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customFormat="false" ht="14.25" hidden="false" customHeight="true" outlineLevel="0" collapsed="false">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row>
    <row r="222" customFormat="false" ht="14.25" hidden="false" customHeight="true" outlineLevel="0" collapsed="false">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row>
    <row r="223" customFormat="false" ht="14.25" hidden="false" customHeight="true" outlineLevel="0" collapsed="false">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row>
    <row r="224" customFormat="false" ht="14.25" hidden="false" customHeight="true" outlineLevel="0" collapsed="false">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row>
    <row r="225" customFormat="false" ht="14.25" hidden="false" customHeight="true" outlineLevel="0" collapsed="false">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row>
    <row r="226" customFormat="false" ht="14.25" hidden="false" customHeight="true" outlineLevel="0" collapsed="false">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row>
    <row r="227" customFormat="false" ht="14.25" hidden="false" customHeight="true" outlineLevel="0" collapsed="false">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row>
    <row r="228" customFormat="false" ht="14.25" hidden="false" customHeight="true" outlineLevel="0" collapsed="false">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customFormat="false" ht="14.25" hidden="false" customHeight="true" outlineLevel="0" collapsed="false">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customFormat="false" ht="14.25" hidden="false" customHeight="true" outlineLevel="0" collapsed="false">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customFormat="false" ht="14.25" hidden="false" customHeight="true" outlineLevel="0" collapsed="false">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customFormat="false" ht="14.25" hidden="false" customHeight="true" outlineLevel="0" collapsed="false">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customFormat="false" ht="14.25" hidden="false" customHeight="true" outlineLevel="0" collapsed="false">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customFormat="false" ht="14.25" hidden="false" customHeight="true" outlineLevel="0" collapsed="false">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customFormat="false" ht="14.25" hidden="false" customHeight="true" outlineLevel="0" collapsed="false">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customFormat="false" ht="14.25" hidden="false" customHeight="true" outlineLevel="0" collapsed="false">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customFormat="false" ht="14.25" hidden="false" customHeight="true" outlineLevel="0" collapsed="false">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customFormat="false" ht="14.25" hidden="false" customHeight="true" outlineLevel="0" collapsed="false">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customFormat="false" ht="14.25" hidden="false" customHeight="true" outlineLevel="0" collapsed="false">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customFormat="false" ht="14.25" hidden="false" customHeight="true" outlineLevel="0" collapsed="false">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customFormat="false" ht="14.25" hidden="false" customHeight="true" outlineLevel="0" collapsed="false">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customFormat="false" ht="14.25" hidden="false" customHeight="true" outlineLevel="0" collapsed="false">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customFormat="false" ht="14.25" hidden="false" customHeight="true" outlineLevel="0" collapsed="false">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customFormat="false" ht="14.25" hidden="false" customHeight="true" outlineLevel="0" collapsed="false">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customFormat="false" ht="14.25" hidden="false" customHeight="true" outlineLevel="0" collapsed="false">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customFormat="false" ht="14.25" hidden="false" customHeight="true" outlineLevel="0" collapsed="false">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customFormat="false" ht="14.25" hidden="false" customHeight="true" outlineLevel="0" collapsed="false">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customFormat="false" ht="14.25" hidden="false" customHeight="true" outlineLevel="0" collapsed="false">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customFormat="false" ht="14.25" hidden="false" customHeight="true" outlineLevel="0" collapsed="false">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customFormat="false" ht="14.25" hidden="false" customHeight="true" outlineLevel="0" collapsed="false">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customFormat="false" ht="14.25" hidden="false" customHeight="true" outlineLevel="0" collapsed="false">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customFormat="false" ht="14.25" hidden="false" customHeight="true" outlineLevel="0" collapsed="false">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customFormat="false" ht="14.25" hidden="false" customHeight="true" outlineLevel="0" collapsed="false">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customFormat="false" ht="14.25" hidden="false" customHeight="true" outlineLevel="0" collapsed="false">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customFormat="false" ht="14.25" hidden="false" customHeight="true" outlineLevel="0" collapsed="false">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customFormat="false" ht="14.25" hidden="false" customHeight="true" outlineLevel="0" collapsed="false">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customFormat="false" ht="14.25" hidden="false" customHeight="true" outlineLevel="0" collapsed="false">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customFormat="false" ht="14.25" hidden="false" customHeight="true" outlineLevel="0" collapsed="false">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customFormat="false" ht="14.25" hidden="false" customHeight="true" outlineLevel="0" collapsed="false">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customFormat="false" ht="14.25" hidden="false" customHeight="true" outlineLevel="0" collapsed="false">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customFormat="false" ht="14.25" hidden="false" customHeight="true" outlineLevel="0" collapsed="false">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customFormat="false" ht="14.25" hidden="false" customHeight="true" outlineLevel="0" collapsed="false">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customFormat="false" ht="14.25" hidden="false" customHeight="true" outlineLevel="0" collapsed="false">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customFormat="false" ht="14.25" hidden="false" customHeight="true" outlineLevel="0" collapsed="false">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customFormat="false" ht="14.25" hidden="false" customHeight="true" outlineLevel="0" collapsed="false">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customFormat="false" ht="14.25" hidden="false" customHeight="true" outlineLevel="0" collapsed="false">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customFormat="false" ht="14.25" hidden="false" customHeight="true" outlineLevel="0" collapsed="false">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customFormat="false" ht="14.25" hidden="false" customHeight="true" outlineLevel="0" collapsed="false">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customFormat="false" ht="14.25" hidden="false" customHeight="true" outlineLevel="0" collapsed="false">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customFormat="false" ht="14.25" hidden="false" customHeight="true" outlineLevel="0" collapsed="false">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customFormat="false" ht="14.25" hidden="false" customHeight="true" outlineLevel="0" collapsed="false">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customFormat="false" ht="14.25" hidden="false" customHeight="true" outlineLevel="0" collapsed="false">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customFormat="false" ht="14.25" hidden="false" customHeight="true" outlineLevel="0" collapsed="false">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customFormat="false" ht="14.25" hidden="false" customHeight="true" outlineLevel="0" collapsed="false">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customFormat="false" ht="14.25" hidden="false" customHeight="true" outlineLevel="0" collapsed="false">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customFormat="false" ht="14.25" hidden="false" customHeight="true" outlineLevel="0" collapsed="false">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customFormat="false" ht="14.25" hidden="false" customHeight="true" outlineLevel="0" collapsed="false">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customFormat="false" ht="14.25" hidden="false" customHeight="true" outlineLevel="0" collapsed="false">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customFormat="false" ht="14.25" hidden="false" customHeight="true" outlineLevel="0" collapsed="false">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customFormat="false" ht="14.25" hidden="false" customHeight="true" outlineLevel="0" collapsed="false">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customFormat="false" ht="14.25" hidden="false" customHeight="true" outlineLevel="0" collapsed="false">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customFormat="false" ht="14.25" hidden="false" customHeight="true" outlineLevel="0" collapsed="false">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customFormat="false" ht="14.25" hidden="false" customHeight="true" outlineLevel="0" collapsed="false">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customFormat="false" ht="14.25" hidden="false" customHeight="true" outlineLevel="0" collapsed="false">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customFormat="false" ht="14.25" hidden="false" customHeight="true" outlineLevel="0" collapsed="false">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customFormat="false" ht="14.25" hidden="false" customHeight="true" outlineLevel="0" collapsed="false">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customFormat="false" ht="14.25" hidden="false" customHeight="true" outlineLevel="0" collapsed="false">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customFormat="false" ht="14.25" hidden="false" customHeight="true" outlineLevel="0" collapsed="false">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customFormat="false" ht="14.25" hidden="false" customHeight="true" outlineLevel="0" collapsed="false">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customFormat="false" ht="14.25" hidden="false" customHeight="true" outlineLevel="0" collapsed="false">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customFormat="false" ht="14.25" hidden="false" customHeight="true" outlineLevel="0" collapsed="false">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customFormat="false" ht="14.25" hidden="false" customHeight="true" outlineLevel="0" collapsed="false">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customFormat="false" ht="14.25" hidden="false" customHeight="true" outlineLevel="0" collapsed="false">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customFormat="false" ht="14.25" hidden="false" customHeight="true" outlineLevel="0" collapsed="false">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customFormat="false" ht="14.25" hidden="false" customHeight="true" outlineLevel="0" collapsed="false">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customFormat="false" ht="14.25" hidden="false" customHeight="true" outlineLevel="0" collapsed="false">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customFormat="false" ht="14.25" hidden="false" customHeight="true" outlineLevel="0" collapsed="false">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customFormat="false" ht="14.25" hidden="false" customHeight="true" outlineLevel="0" collapsed="false">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customFormat="false" ht="14.25" hidden="false" customHeight="true" outlineLevel="0" collapsed="false">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customFormat="false" ht="14.25" hidden="false" customHeight="true" outlineLevel="0" collapsed="false">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customFormat="false" ht="14.25" hidden="false" customHeight="true" outlineLevel="0" collapsed="false">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customFormat="false" ht="14.25" hidden="false" customHeight="true" outlineLevel="0" collapsed="false">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customFormat="false" ht="14.25" hidden="false" customHeight="true" outlineLevel="0" collapsed="false">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customFormat="false" ht="14.25" hidden="false" customHeight="true" outlineLevel="0" collapsed="false">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customFormat="false" ht="14.25" hidden="false" customHeight="true" outlineLevel="0" collapsed="false">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customFormat="false" ht="14.25" hidden="false" customHeight="true" outlineLevel="0" collapsed="false">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customFormat="false" ht="14.25" hidden="false" customHeight="true" outlineLevel="0" collapsed="false">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customFormat="false" ht="14.25" hidden="false" customHeight="true" outlineLevel="0" collapsed="false">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customFormat="false" ht="14.25" hidden="false" customHeight="true" outlineLevel="0" collapsed="false">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customFormat="false" ht="14.25" hidden="false" customHeight="true" outlineLevel="0" collapsed="false">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customFormat="false" ht="14.25" hidden="false" customHeight="true" outlineLevel="0" collapsed="false">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customFormat="false" ht="14.25" hidden="false" customHeight="true" outlineLevel="0" collapsed="false">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customFormat="false" ht="14.25" hidden="false" customHeight="true" outlineLevel="0" collapsed="false">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customFormat="false" ht="14.25" hidden="false" customHeight="true" outlineLevel="0" collapsed="false">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customFormat="false" ht="14.25" hidden="false" customHeight="true" outlineLevel="0" collapsed="false">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customFormat="false" ht="14.25" hidden="false" customHeight="true" outlineLevel="0" collapsed="false">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customFormat="false" ht="14.25" hidden="false" customHeight="true" outlineLevel="0" collapsed="false">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customFormat="false" ht="14.25" hidden="false" customHeight="true" outlineLevel="0" collapsed="false">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customFormat="false" ht="14.25" hidden="false" customHeight="true" outlineLevel="0" collapsed="false">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customFormat="false" ht="14.25" hidden="false" customHeight="true" outlineLevel="0" collapsed="false">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customFormat="false" ht="14.25" hidden="false" customHeight="true" outlineLevel="0" collapsed="false">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customFormat="false" ht="14.25" hidden="false" customHeight="true" outlineLevel="0" collapsed="false">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customFormat="false" ht="14.25" hidden="false" customHeight="true" outlineLevel="0" collapsed="false">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customFormat="false" ht="14.25" hidden="false" customHeight="true" outlineLevel="0" collapsed="false">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customFormat="false" ht="14.25" hidden="false" customHeight="true" outlineLevel="0" collapsed="false">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customFormat="false" ht="14.25" hidden="false" customHeight="true" outlineLevel="0" collapsed="false">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customFormat="false" ht="14.25" hidden="false" customHeight="true" outlineLevel="0" collapsed="false">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customFormat="false" ht="14.25" hidden="false" customHeight="true" outlineLevel="0" collapsed="false">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customFormat="false" ht="14.25" hidden="false" customHeight="true" outlineLevel="0" collapsed="false">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customFormat="false" ht="14.25" hidden="false" customHeight="true" outlineLevel="0" collapsed="false">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customFormat="false" ht="14.25" hidden="false" customHeight="true" outlineLevel="0" collapsed="false">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customFormat="false" ht="14.25" hidden="false" customHeight="true" outlineLevel="0" collapsed="false">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customFormat="false" ht="14.25" hidden="false" customHeight="true" outlineLevel="0" collapsed="false">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customFormat="false" ht="14.25" hidden="false" customHeight="true" outlineLevel="0" collapsed="false">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customFormat="false" ht="14.25" hidden="false" customHeight="true" outlineLevel="0" collapsed="false">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customFormat="false" ht="14.25" hidden="false" customHeight="true" outlineLevel="0" collapsed="false">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customFormat="false" ht="14.25" hidden="false" customHeight="true" outlineLevel="0" collapsed="false">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customFormat="false" ht="14.25" hidden="false" customHeight="true" outlineLevel="0" collapsed="false">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customFormat="false" ht="14.25" hidden="false" customHeight="true" outlineLevel="0" collapsed="false">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customFormat="false" ht="14.25" hidden="false" customHeight="true" outlineLevel="0" collapsed="false">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customFormat="false" ht="14.25" hidden="false" customHeight="true" outlineLevel="0" collapsed="false">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customFormat="false" ht="14.25" hidden="false" customHeight="true" outlineLevel="0" collapsed="false">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customFormat="false" ht="14.25" hidden="false" customHeight="true" outlineLevel="0" collapsed="false">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customFormat="false" ht="14.25" hidden="false" customHeight="true" outlineLevel="0" collapsed="false">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customFormat="false" ht="14.25" hidden="false" customHeight="true" outlineLevel="0" collapsed="false">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customFormat="false" ht="14.25" hidden="false" customHeight="true" outlineLevel="0" collapsed="false">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customFormat="false" ht="14.25" hidden="false" customHeight="true" outlineLevel="0" collapsed="false">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customFormat="false" ht="14.25" hidden="false" customHeight="true" outlineLevel="0" collapsed="false">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customFormat="false" ht="14.25" hidden="false" customHeight="true" outlineLevel="0" collapsed="false">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customFormat="false" ht="14.25" hidden="false" customHeight="true" outlineLevel="0" collapsed="false">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customFormat="false" ht="14.25" hidden="false" customHeight="true" outlineLevel="0" collapsed="false">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customFormat="false" ht="14.25" hidden="false" customHeight="true" outlineLevel="0" collapsed="false">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customFormat="false" ht="14.25" hidden="false" customHeight="true" outlineLevel="0" collapsed="false">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customFormat="false" ht="14.25" hidden="false" customHeight="true" outlineLevel="0" collapsed="false">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customFormat="false" ht="14.25" hidden="false" customHeight="true" outlineLevel="0" collapsed="false">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customFormat="false" ht="14.25" hidden="false" customHeight="true" outlineLevel="0" collapsed="false">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customFormat="false" ht="14.25" hidden="false" customHeight="true" outlineLevel="0" collapsed="false">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customFormat="false" ht="14.25" hidden="false" customHeight="true" outlineLevel="0" collapsed="false">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customFormat="false" ht="14.25" hidden="false" customHeight="true" outlineLevel="0" collapsed="false">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customFormat="false" ht="14.25" hidden="false" customHeight="true" outlineLevel="0" collapsed="false">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customFormat="false" ht="14.25" hidden="false" customHeight="true" outlineLevel="0" collapsed="false">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customFormat="false" ht="14.25" hidden="false" customHeight="true" outlineLevel="0" collapsed="false">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customFormat="false" ht="14.25" hidden="false" customHeight="true" outlineLevel="0" collapsed="false">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customFormat="false" ht="14.25" hidden="false" customHeight="true" outlineLevel="0" collapsed="false">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customFormat="false" ht="14.25" hidden="false" customHeight="true" outlineLevel="0" collapsed="false">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customFormat="false" ht="14.25" hidden="false" customHeight="true" outlineLevel="0" collapsed="false">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customFormat="false" ht="14.25" hidden="false" customHeight="true" outlineLevel="0" collapsed="false">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customFormat="false" ht="14.25" hidden="false" customHeight="true" outlineLevel="0" collapsed="false">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customFormat="false" ht="14.25" hidden="false" customHeight="true" outlineLevel="0" collapsed="false">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customFormat="false" ht="14.25" hidden="false" customHeight="true" outlineLevel="0" collapsed="false">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customFormat="false" ht="14.25" hidden="false" customHeight="true" outlineLevel="0" collapsed="false">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customFormat="false" ht="14.25" hidden="false" customHeight="true" outlineLevel="0" collapsed="false">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customFormat="false" ht="14.25" hidden="false" customHeight="true" outlineLevel="0" collapsed="false">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customFormat="false" ht="14.25" hidden="false" customHeight="true" outlineLevel="0" collapsed="false">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customFormat="false" ht="14.25" hidden="false" customHeight="true" outlineLevel="0" collapsed="false">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customFormat="false" ht="14.25" hidden="false" customHeight="true" outlineLevel="0" collapsed="false">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customFormat="false" ht="14.25" hidden="false" customHeight="true" outlineLevel="0" collapsed="false">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customFormat="false" ht="14.25" hidden="false" customHeight="true" outlineLevel="0" collapsed="false">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customFormat="false" ht="14.25" hidden="false" customHeight="true" outlineLevel="0" collapsed="false">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customFormat="false" ht="14.25" hidden="false" customHeight="true" outlineLevel="0" collapsed="false">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customFormat="false" ht="14.25" hidden="false" customHeight="true" outlineLevel="0" collapsed="false">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customFormat="false" ht="14.25" hidden="false" customHeight="true" outlineLevel="0" collapsed="false">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customFormat="false" ht="14.25" hidden="false" customHeight="true" outlineLevel="0" collapsed="false">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customFormat="false" ht="14.25" hidden="false" customHeight="true" outlineLevel="0" collapsed="false">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customFormat="false" ht="14.25" hidden="false" customHeight="true" outlineLevel="0" collapsed="false">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customFormat="false" ht="14.25" hidden="false" customHeight="true" outlineLevel="0" collapsed="false">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customFormat="false" ht="14.25" hidden="false" customHeight="true" outlineLevel="0" collapsed="false">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customFormat="false" ht="14.25" hidden="false" customHeight="true" outlineLevel="0" collapsed="false">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customFormat="false" ht="14.25" hidden="false" customHeight="true" outlineLevel="0" collapsed="false">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customFormat="false" ht="14.25" hidden="false" customHeight="true" outlineLevel="0" collapsed="false">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customFormat="false" ht="14.25" hidden="false" customHeight="true" outlineLevel="0" collapsed="false">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customFormat="false" ht="14.25" hidden="false" customHeight="true" outlineLevel="0" collapsed="false">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customFormat="false" ht="14.25" hidden="false" customHeight="true" outlineLevel="0" collapsed="false">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customFormat="false" ht="14.25" hidden="false" customHeight="true" outlineLevel="0" collapsed="false">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customFormat="false" ht="14.25" hidden="false" customHeight="true" outlineLevel="0" collapsed="false">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customFormat="false" ht="14.25" hidden="false" customHeight="true" outlineLevel="0" collapsed="false">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customFormat="false" ht="14.25" hidden="false" customHeight="true" outlineLevel="0" collapsed="false">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customFormat="false" ht="14.25" hidden="false" customHeight="true" outlineLevel="0" collapsed="false">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customFormat="false" ht="14.25" hidden="false" customHeight="true" outlineLevel="0" collapsed="false">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customFormat="false" ht="14.25" hidden="false" customHeight="true" outlineLevel="0" collapsed="false">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customFormat="false" ht="14.25" hidden="false" customHeight="true" outlineLevel="0" collapsed="false">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customFormat="false" ht="14.25" hidden="false" customHeight="true" outlineLevel="0" collapsed="false">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customFormat="false" ht="14.25" hidden="false" customHeight="true" outlineLevel="0" collapsed="false">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customFormat="false" ht="14.25" hidden="false" customHeight="true" outlineLevel="0" collapsed="false">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customFormat="false" ht="14.25" hidden="false" customHeight="true" outlineLevel="0" collapsed="false">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customFormat="false" ht="14.25" hidden="false" customHeight="true" outlineLevel="0" collapsed="false">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customFormat="false" ht="14.25" hidden="false" customHeight="true" outlineLevel="0" collapsed="false">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customFormat="false" ht="14.25" hidden="false" customHeight="true" outlineLevel="0" collapsed="false">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customFormat="false" ht="14.25" hidden="false" customHeight="true" outlineLevel="0" collapsed="false">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customFormat="false" ht="14.25" hidden="false" customHeight="true" outlineLevel="0" collapsed="false">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customFormat="false" ht="14.25" hidden="false" customHeight="true" outlineLevel="0" collapsed="false">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customFormat="false" ht="14.25" hidden="false" customHeight="true" outlineLevel="0" collapsed="false">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customFormat="false" ht="14.25" hidden="false" customHeight="true" outlineLevel="0" collapsed="false">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customFormat="false" ht="14.25" hidden="false" customHeight="true" outlineLevel="0" collapsed="false">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customFormat="false" ht="14.25" hidden="false" customHeight="true" outlineLevel="0" collapsed="false">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customFormat="false" ht="14.25" hidden="false" customHeight="true" outlineLevel="0" collapsed="false">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customFormat="false" ht="14.25" hidden="false" customHeight="true" outlineLevel="0" collapsed="false">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customFormat="false" ht="14.25" hidden="false" customHeight="true" outlineLevel="0" collapsed="false">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customFormat="false" ht="14.25" hidden="false" customHeight="true" outlineLevel="0" collapsed="false">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customFormat="false" ht="14.25" hidden="false" customHeight="true" outlineLevel="0" collapsed="false">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customFormat="false" ht="14.25" hidden="false" customHeight="true" outlineLevel="0" collapsed="false">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customFormat="false" ht="14.25" hidden="false" customHeight="true" outlineLevel="0" collapsed="false">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customFormat="false" ht="14.25" hidden="false" customHeight="true" outlineLevel="0" collapsed="false">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customFormat="false" ht="14.25" hidden="false" customHeight="true" outlineLevel="0" collapsed="false">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customFormat="false" ht="14.25" hidden="false" customHeight="true" outlineLevel="0" collapsed="false">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customFormat="false" ht="14.25" hidden="false" customHeight="true" outlineLevel="0" collapsed="false">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customFormat="false" ht="14.25" hidden="false" customHeight="true" outlineLevel="0" collapsed="false">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customFormat="false" ht="14.25" hidden="false" customHeight="true" outlineLevel="0" collapsed="false">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customFormat="false" ht="14.25" hidden="false" customHeight="true" outlineLevel="0" collapsed="false">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customFormat="false" ht="14.25" hidden="false" customHeight="true" outlineLevel="0" collapsed="false">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customFormat="false" ht="14.25" hidden="false" customHeight="true" outlineLevel="0" collapsed="false">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customFormat="false" ht="14.25" hidden="false" customHeight="true" outlineLevel="0" collapsed="false">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customFormat="false" ht="14.25" hidden="false" customHeight="true" outlineLevel="0" collapsed="false">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customFormat="false" ht="14.25" hidden="false" customHeight="true" outlineLevel="0" collapsed="false">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customFormat="false" ht="14.25" hidden="false" customHeight="true" outlineLevel="0" collapsed="false">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customFormat="false" ht="14.25" hidden="false" customHeight="true" outlineLevel="0" collapsed="false">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customFormat="false" ht="14.25" hidden="false" customHeight="true" outlineLevel="0" collapsed="false">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customFormat="false" ht="14.25" hidden="false" customHeight="true" outlineLevel="0" collapsed="false">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customFormat="false" ht="14.25" hidden="false" customHeight="true" outlineLevel="0" collapsed="false">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customFormat="false" ht="14.25" hidden="false" customHeight="true" outlineLevel="0" collapsed="false">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customFormat="false" ht="14.25" hidden="false" customHeight="true" outlineLevel="0" collapsed="false">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customFormat="false" ht="14.25" hidden="false" customHeight="true" outlineLevel="0" collapsed="false">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customFormat="false" ht="14.25" hidden="false" customHeight="true" outlineLevel="0" collapsed="false">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customFormat="false" ht="14.25" hidden="false" customHeight="true" outlineLevel="0" collapsed="false">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customFormat="false" ht="14.25" hidden="false" customHeight="true" outlineLevel="0" collapsed="false">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customFormat="false" ht="14.25" hidden="false" customHeight="true" outlineLevel="0" collapsed="false">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customFormat="false" ht="14.25" hidden="false" customHeight="true" outlineLevel="0" collapsed="false">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customFormat="false" ht="14.25" hidden="false" customHeight="true" outlineLevel="0" collapsed="false">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customFormat="false" ht="14.25" hidden="false" customHeight="true" outlineLevel="0" collapsed="false">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customFormat="false" ht="14.25" hidden="false" customHeight="true" outlineLevel="0" collapsed="false">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customFormat="false" ht="14.25" hidden="false" customHeight="true" outlineLevel="0" collapsed="false">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customFormat="false" ht="14.25" hidden="false" customHeight="true" outlineLevel="0" collapsed="false">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customFormat="false" ht="14.25" hidden="false" customHeight="true" outlineLevel="0" collapsed="false">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customFormat="false" ht="14.25" hidden="false" customHeight="true" outlineLevel="0" collapsed="false">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customFormat="false" ht="14.25" hidden="false" customHeight="true" outlineLevel="0" collapsed="false">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customFormat="false" ht="14.25" hidden="false" customHeight="true" outlineLevel="0" collapsed="false">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customFormat="false" ht="14.25" hidden="false" customHeight="true" outlineLevel="0" collapsed="false">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customFormat="false" ht="14.25" hidden="false" customHeight="true" outlineLevel="0" collapsed="false">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customFormat="false" ht="14.25" hidden="false" customHeight="true" outlineLevel="0" collapsed="false">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customFormat="false" ht="14.25" hidden="false" customHeight="true" outlineLevel="0" collapsed="false">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customFormat="false" ht="14.25" hidden="false" customHeight="true" outlineLevel="0" collapsed="false">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customFormat="false" ht="14.25" hidden="false" customHeight="true" outlineLevel="0" collapsed="false">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customFormat="false" ht="14.25" hidden="false" customHeight="true" outlineLevel="0" collapsed="false">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customFormat="false" ht="14.25" hidden="false" customHeight="true" outlineLevel="0" collapsed="false">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customFormat="false" ht="14.25" hidden="false" customHeight="true" outlineLevel="0" collapsed="false">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customFormat="false" ht="14.25" hidden="false" customHeight="true" outlineLevel="0" collapsed="false">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customFormat="false" ht="14.25" hidden="false" customHeight="true" outlineLevel="0" collapsed="false">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customFormat="false" ht="14.25" hidden="false" customHeight="true" outlineLevel="0" collapsed="false">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customFormat="false" ht="14.25" hidden="false" customHeight="true" outlineLevel="0" collapsed="false">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customFormat="false" ht="14.25" hidden="false" customHeight="true" outlineLevel="0" collapsed="false">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customFormat="false" ht="14.25" hidden="false" customHeight="true" outlineLevel="0" collapsed="false">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customFormat="false" ht="14.25" hidden="false" customHeight="true" outlineLevel="0" collapsed="false">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customFormat="false" ht="14.25" hidden="false" customHeight="true" outlineLevel="0" collapsed="false">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customFormat="false" ht="14.25" hidden="false" customHeight="true" outlineLevel="0" collapsed="false">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customFormat="false" ht="14.25" hidden="false" customHeight="true" outlineLevel="0" collapsed="false">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customFormat="false" ht="14.25" hidden="false" customHeight="true" outlineLevel="0" collapsed="false">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customFormat="false" ht="14.25" hidden="false" customHeight="true" outlineLevel="0" collapsed="false">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customFormat="false" ht="14.25" hidden="false" customHeight="true" outlineLevel="0" collapsed="false">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customFormat="false" ht="14.25" hidden="false" customHeight="true" outlineLevel="0" collapsed="false">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customFormat="false" ht="14.25" hidden="false" customHeight="true" outlineLevel="0" collapsed="false">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customFormat="false" ht="14.25" hidden="false" customHeight="true" outlineLevel="0" collapsed="false">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customFormat="false" ht="14.25" hidden="false" customHeight="true" outlineLevel="0" collapsed="false">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customFormat="false" ht="14.25" hidden="false" customHeight="true" outlineLevel="0" collapsed="false">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customFormat="false" ht="14.25" hidden="false" customHeight="true" outlineLevel="0" collapsed="false">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customFormat="false" ht="14.25" hidden="false" customHeight="true" outlineLevel="0" collapsed="false">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customFormat="false" ht="14.25" hidden="false" customHeight="true" outlineLevel="0" collapsed="false">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customFormat="false" ht="14.25" hidden="false" customHeight="true" outlineLevel="0" collapsed="false">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customFormat="false" ht="14.25" hidden="false" customHeight="true" outlineLevel="0" collapsed="false">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customFormat="false" ht="14.25" hidden="false" customHeight="true" outlineLevel="0" collapsed="false">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customFormat="false" ht="14.25" hidden="false" customHeight="true" outlineLevel="0" collapsed="false">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customFormat="false" ht="14.25" hidden="false" customHeight="true" outlineLevel="0" collapsed="false">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customFormat="false" ht="14.25" hidden="false" customHeight="true" outlineLevel="0" collapsed="false">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customFormat="false" ht="14.25" hidden="false" customHeight="true" outlineLevel="0" collapsed="false">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customFormat="false" ht="14.25" hidden="false" customHeight="true" outlineLevel="0" collapsed="false">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customFormat="false" ht="14.25" hidden="false" customHeight="true" outlineLevel="0" collapsed="false">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customFormat="false" ht="14.25" hidden="false" customHeight="true" outlineLevel="0" collapsed="false">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customFormat="false" ht="14.25" hidden="false" customHeight="true" outlineLevel="0" collapsed="false">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customFormat="false" ht="14.25" hidden="false" customHeight="true" outlineLevel="0" collapsed="false">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customFormat="false" ht="14.25" hidden="false" customHeight="true" outlineLevel="0" collapsed="false">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customFormat="false" ht="14.25" hidden="false" customHeight="true" outlineLevel="0" collapsed="false">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customFormat="false" ht="14.25" hidden="false" customHeight="true" outlineLevel="0" collapsed="false">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customFormat="false" ht="14.25" hidden="false" customHeight="true" outlineLevel="0" collapsed="false">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customFormat="false" ht="14.25" hidden="false" customHeight="true" outlineLevel="0" collapsed="false">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customFormat="false" ht="14.25" hidden="false" customHeight="true" outlineLevel="0" collapsed="false">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customFormat="false" ht="14.25" hidden="false" customHeight="true" outlineLevel="0" collapsed="false">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customFormat="false" ht="14.25" hidden="false" customHeight="true" outlineLevel="0" collapsed="false">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customFormat="false" ht="14.25" hidden="false" customHeight="true" outlineLevel="0" collapsed="false">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customFormat="false" ht="14.25" hidden="false" customHeight="true" outlineLevel="0" collapsed="false">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customFormat="false" ht="14.25" hidden="false" customHeight="true" outlineLevel="0" collapsed="false">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customFormat="false" ht="14.25" hidden="false" customHeight="true" outlineLevel="0" collapsed="false">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customFormat="false" ht="14.25" hidden="false" customHeight="true" outlineLevel="0" collapsed="false">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customFormat="false" ht="14.25" hidden="false" customHeight="true" outlineLevel="0" collapsed="false">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customFormat="false" ht="14.25" hidden="false" customHeight="true" outlineLevel="0" collapsed="false">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customFormat="false" ht="14.25" hidden="false" customHeight="true" outlineLevel="0" collapsed="false">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customFormat="false" ht="14.25" hidden="false" customHeight="true" outlineLevel="0" collapsed="false">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customFormat="false" ht="14.25" hidden="false" customHeight="true" outlineLevel="0" collapsed="false">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customFormat="false" ht="14.25" hidden="false" customHeight="true" outlineLevel="0" collapsed="false">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customFormat="false" ht="14.25" hidden="false" customHeight="true" outlineLevel="0" collapsed="false">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customFormat="false" ht="14.25" hidden="false" customHeight="true" outlineLevel="0" collapsed="false">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customFormat="false" ht="14.25" hidden="false" customHeight="true" outlineLevel="0" collapsed="false">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customFormat="false" ht="14.25" hidden="false" customHeight="true" outlineLevel="0" collapsed="false">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customFormat="false" ht="14.25" hidden="false" customHeight="true" outlineLevel="0" collapsed="false">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customFormat="false" ht="14.25" hidden="false" customHeight="true" outlineLevel="0" collapsed="false">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customFormat="false" ht="14.25" hidden="false" customHeight="true" outlineLevel="0" collapsed="false">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customFormat="false" ht="14.25" hidden="false" customHeight="true" outlineLevel="0" collapsed="false">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customFormat="false" ht="14.25" hidden="false" customHeight="true" outlineLevel="0" collapsed="false">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customFormat="false" ht="14.25" hidden="false" customHeight="true" outlineLevel="0" collapsed="false">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customFormat="false" ht="14.25" hidden="false" customHeight="true" outlineLevel="0" collapsed="false">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customFormat="false" ht="14.25" hidden="false" customHeight="true" outlineLevel="0" collapsed="false">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customFormat="false" ht="14.25" hidden="false" customHeight="true" outlineLevel="0" collapsed="false">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customFormat="false" ht="14.25" hidden="false" customHeight="true" outlineLevel="0" collapsed="false">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customFormat="false" ht="14.25" hidden="false" customHeight="true" outlineLevel="0" collapsed="false">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customFormat="false" ht="14.25" hidden="false" customHeight="true" outlineLevel="0" collapsed="false">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customFormat="false" ht="14.25" hidden="false" customHeight="true" outlineLevel="0" collapsed="false">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customFormat="false" ht="14.25" hidden="false" customHeight="true" outlineLevel="0" collapsed="false">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customFormat="false" ht="14.25" hidden="false" customHeight="true" outlineLevel="0" collapsed="false">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customFormat="false" ht="14.25" hidden="false" customHeight="true" outlineLevel="0" collapsed="false">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customFormat="false" ht="14.25" hidden="false" customHeight="true" outlineLevel="0" collapsed="false">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customFormat="false" ht="14.25" hidden="false" customHeight="true" outlineLevel="0" collapsed="false">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customFormat="false" ht="14.25" hidden="false" customHeight="true" outlineLevel="0" collapsed="false">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customFormat="false" ht="14.25" hidden="false" customHeight="true" outlineLevel="0" collapsed="false">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customFormat="false" ht="14.25" hidden="false" customHeight="true" outlineLevel="0" collapsed="false">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customFormat="false" ht="14.25" hidden="false" customHeight="true" outlineLevel="0" collapsed="false">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customFormat="false" ht="14.25" hidden="false" customHeight="true" outlineLevel="0" collapsed="false">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customFormat="false" ht="14.25" hidden="false" customHeight="true" outlineLevel="0" collapsed="false">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customFormat="false" ht="14.25" hidden="false" customHeight="true" outlineLevel="0" collapsed="false">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customFormat="false" ht="14.25" hidden="false" customHeight="true" outlineLevel="0" collapsed="false">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customFormat="false" ht="14.25" hidden="false" customHeight="true" outlineLevel="0" collapsed="false">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customFormat="false" ht="14.25" hidden="false" customHeight="true" outlineLevel="0" collapsed="false">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customFormat="false" ht="14.25" hidden="false" customHeight="true" outlineLevel="0" collapsed="false">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customFormat="false" ht="14.25" hidden="false" customHeight="true" outlineLevel="0" collapsed="false">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customFormat="false" ht="14.25" hidden="false" customHeight="true" outlineLevel="0" collapsed="false">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customFormat="false" ht="14.25" hidden="false" customHeight="true" outlineLevel="0" collapsed="false">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customFormat="false" ht="14.25" hidden="false" customHeight="true" outlineLevel="0" collapsed="false">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customFormat="false" ht="14.25" hidden="false" customHeight="true" outlineLevel="0" collapsed="false">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customFormat="false" ht="14.25" hidden="false" customHeight="true" outlineLevel="0" collapsed="false">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customFormat="false" ht="14.25" hidden="false" customHeight="true" outlineLevel="0" collapsed="false">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customFormat="false" ht="14.25" hidden="false" customHeight="true" outlineLevel="0" collapsed="false">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customFormat="false" ht="14.25" hidden="false" customHeight="true" outlineLevel="0" collapsed="false">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customFormat="false" ht="14.25" hidden="false" customHeight="true" outlineLevel="0" collapsed="false">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customFormat="false" ht="14.25" hidden="false" customHeight="true" outlineLevel="0" collapsed="false">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customFormat="false" ht="14.25" hidden="false" customHeight="true" outlineLevel="0" collapsed="false">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customFormat="false" ht="14.25" hidden="false" customHeight="true" outlineLevel="0" collapsed="false">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customFormat="false" ht="14.25" hidden="false" customHeight="true" outlineLevel="0" collapsed="false">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customFormat="false" ht="14.25" hidden="false" customHeight="true" outlineLevel="0" collapsed="false">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customFormat="false" ht="14.25" hidden="false" customHeight="true" outlineLevel="0" collapsed="false">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customFormat="false" ht="14.25" hidden="false" customHeight="true" outlineLevel="0" collapsed="false">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customFormat="false" ht="14.25" hidden="false" customHeight="true" outlineLevel="0" collapsed="false">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customFormat="false" ht="14.25" hidden="false" customHeight="true" outlineLevel="0" collapsed="false">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customFormat="false" ht="14.25" hidden="false" customHeight="true" outlineLevel="0" collapsed="false">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customFormat="false" ht="14.25" hidden="false" customHeight="true" outlineLevel="0" collapsed="false">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customFormat="false" ht="14.25" hidden="false" customHeight="true" outlineLevel="0" collapsed="false">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customFormat="false" ht="14.25" hidden="false" customHeight="true" outlineLevel="0" collapsed="false">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customFormat="false" ht="14.25" hidden="false" customHeight="true" outlineLevel="0" collapsed="false">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customFormat="false" ht="14.25" hidden="false" customHeight="true" outlineLevel="0" collapsed="false">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customFormat="false" ht="14.25" hidden="false" customHeight="true" outlineLevel="0" collapsed="false">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customFormat="false" ht="14.25" hidden="false" customHeight="true" outlineLevel="0" collapsed="false">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customFormat="false" ht="14.25" hidden="false" customHeight="true" outlineLevel="0" collapsed="false">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customFormat="false" ht="14.25" hidden="false" customHeight="true" outlineLevel="0" collapsed="false">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customFormat="false" ht="14.25" hidden="false" customHeight="true" outlineLevel="0" collapsed="false">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customFormat="false" ht="14.25" hidden="false" customHeight="true" outlineLevel="0" collapsed="false">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customFormat="false" ht="14.25" hidden="false" customHeight="true" outlineLevel="0" collapsed="false">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customFormat="false" ht="14.25" hidden="false" customHeight="true" outlineLevel="0" collapsed="false">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customFormat="false" ht="14.25" hidden="false" customHeight="true" outlineLevel="0" collapsed="false">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customFormat="false" ht="14.25" hidden="false" customHeight="true" outlineLevel="0" collapsed="false">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customFormat="false" ht="14.25" hidden="false" customHeight="true" outlineLevel="0" collapsed="false">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customFormat="false" ht="14.25" hidden="false" customHeight="true" outlineLevel="0" collapsed="false">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customFormat="false" ht="14.25" hidden="false" customHeight="true" outlineLevel="0" collapsed="false">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customFormat="false" ht="14.25" hidden="false" customHeight="true" outlineLevel="0" collapsed="false">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customFormat="false" ht="14.25" hidden="false" customHeight="true" outlineLevel="0" collapsed="false">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customFormat="false" ht="14.25" hidden="false" customHeight="true" outlineLevel="0" collapsed="false">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customFormat="false" ht="14.25" hidden="false" customHeight="true" outlineLevel="0" collapsed="false">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customFormat="false" ht="14.25" hidden="false" customHeight="true" outlineLevel="0" collapsed="false">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customFormat="false" ht="14.25" hidden="false" customHeight="true" outlineLevel="0" collapsed="false">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customFormat="false" ht="14.25" hidden="false" customHeight="true" outlineLevel="0" collapsed="false">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customFormat="false" ht="14.25" hidden="false" customHeight="true" outlineLevel="0" collapsed="false">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customFormat="false" ht="14.25" hidden="false" customHeight="true" outlineLevel="0" collapsed="false">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customFormat="false" ht="14.25" hidden="false" customHeight="true" outlineLevel="0" collapsed="false">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customFormat="false" ht="14.25" hidden="false" customHeight="true" outlineLevel="0" collapsed="false">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customFormat="false" ht="14.25" hidden="false" customHeight="true" outlineLevel="0" collapsed="false">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customFormat="false" ht="14.25" hidden="false" customHeight="true" outlineLevel="0" collapsed="false">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customFormat="false" ht="14.25" hidden="false" customHeight="true" outlineLevel="0" collapsed="false">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customFormat="false" ht="14.25" hidden="false" customHeight="true" outlineLevel="0" collapsed="false">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customFormat="false" ht="14.25" hidden="false" customHeight="true" outlineLevel="0" collapsed="false">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customFormat="false" ht="14.25" hidden="false" customHeight="true" outlineLevel="0" collapsed="false">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customFormat="false" ht="14.25" hidden="false" customHeight="true" outlineLevel="0" collapsed="false">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customFormat="false" ht="14.25" hidden="false" customHeight="true" outlineLevel="0" collapsed="false">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customFormat="false" ht="14.25" hidden="false" customHeight="true" outlineLevel="0" collapsed="false">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customFormat="false" ht="14.25" hidden="false" customHeight="true" outlineLevel="0" collapsed="false">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customFormat="false" ht="14.25" hidden="false" customHeight="true" outlineLevel="0" collapsed="false">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customFormat="false" ht="14.25" hidden="false" customHeight="true" outlineLevel="0" collapsed="false">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customFormat="false" ht="14.25" hidden="false" customHeight="true" outlineLevel="0" collapsed="false">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customFormat="false" ht="14.25" hidden="false" customHeight="true" outlineLevel="0" collapsed="false">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customFormat="false" ht="14.25" hidden="false" customHeight="true" outlineLevel="0" collapsed="false">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customFormat="false" ht="14.25" hidden="false" customHeight="true" outlineLevel="0" collapsed="false">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customFormat="false" ht="14.25" hidden="false" customHeight="true" outlineLevel="0" collapsed="false">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customFormat="false" ht="14.25" hidden="false" customHeight="true" outlineLevel="0" collapsed="false">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customFormat="false" ht="14.25" hidden="false" customHeight="true" outlineLevel="0" collapsed="false">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customFormat="false" ht="14.25" hidden="false" customHeight="true" outlineLevel="0" collapsed="false">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customFormat="false" ht="14.25" hidden="false" customHeight="true" outlineLevel="0" collapsed="false">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customFormat="false" ht="14.25" hidden="false" customHeight="true" outlineLevel="0" collapsed="false">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customFormat="false" ht="14.25" hidden="false" customHeight="true" outlineLevel="0" collapsed="false">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customFormat="false" ht="14.25" hidden="false" customHeight="true" outlineLevel="0" collapsed="false">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customFormat="false" ht="14.25" hidden="false" customHeight="true" outlineLevel="0" collapsed="false">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customFormat="false" ht="14.25" hidden="false" customHeight="true" outlineLevel="0" collapsed="false">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customFormat="false" ht="14.25" hidden="false" customHeight="true" outlineLevel="0" collapsed="false">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customFormat="false" ht="14.25" hidden="false" customHeight="true" outlineLevel="0" collapsed="false">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customFormat="false" ht="14.25" hidden="false" customHeight="true" outlineLevel="0" collapsed="false">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customFormat="false" ht="14.25" hidden="false" customHeight="true" outlineLevel="0" collapsed="false">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customFormat="false" ht="14.25" hidden="false" customHeight="true" outlineLevel="0" collapsed="false">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customFormat="false" ht="14.25" hidden="false" customHeight="true" outlineLevel="0" collapsed="false">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customFormat="false" ht="14.25" hidden="false" customHeight="true" outlineLevel="0" collapsed="false">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customFormat="false" ht="14.25" hidden="false" customHeight="true" outlineLevel="0" collapsed="false">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customFormat="false" ht="14.25" hidden="false" customHeight="true" outlineLevel="0" collapsed="false">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customFormat="false" ht="14.25" hidden="false" customHeight="true" outlineLevel="0" collapsed="false">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customFormat="false" ht="14.25" hidden="false" customHeight="true" outlineLevel="0" collapsed="false">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customFormat="false" ht="14.25" hidden="false" customHeight="true" outlineLevel="0" collapsed="false">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customFormat="false" ht="14.25" hidden="false" customHeight="true" outlineLevel="0" collapsed="false">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customFormat="false" ht="14.25" hidden="false" customHeight="true" outlineLevel="0" collapsed="false">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customFormat="false" ht="14.25" hidden="false" customHeight="true" outlineLevel="0" collapsed="false">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customFormat="false" ht="14.25" hidden="false" customHeight="true" outlineLevel="0" collapsed="false">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customFormat="false" ht="14.25" hidden="false" customHeight="true" outlineLevel="0" collapsed="false">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customFormat="false" ht="14.25" hidden="false" customHeight="true" outlineLevel="0" collapsed="false">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customFormat="false" ht="14.25" hidden="false" customHeight="true" outlineLevel="0" collapsed="false">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customFormat="false" ht="14.25" hidden="false" customHeight="true" outlineLevel="0" collapsed="false">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customFormat="false" ht="14.25" hidden="false" customHeight="true" outlineLevel="0" collapsed="false">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customFormat="false" ht="14.25" hidden="false" customHeight="true" outlineLevel="0" collapsed="false">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customFormat="false" ht="14.25" hidden="false" customHeight="true" outlineLevel="0" collapsed="false">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customFormat="false" ht="14.25" hidden="false" customHeight="true" outlineLevel="0" collapsed="false">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customFormat="false" ht="14.25" hidden="false" customHeight="true" outlineLevel="0" collapsed="false">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customFormat="false" ht="14.25" hidden="false" customHeight="true" outlineLevel="0" collapsed="false">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customFormat="false" ht="14.25" hidden="false" customHeight="true" outlineLevel="0" collapsed="false">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customFormat="false" ht="14.25" hidden="false" customHeight="true" outlineLevel="0" collapsed="false">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customFormat="false" ht="14.25" hidden="false" customHeight="true" outlineLevel="0" collapsed="false">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customFormat="false" ht="14.25" hidden="false" customHeight="true" outlineLevel="0" collapsed="false">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customFormat="false" ht="14.25" hidden="false" customHeight="true" outlineLevel="0" collapsed="false">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customFormat="false" ht="14.25" hidden="false" customHeight="true" outlineLevel="0" collapsed="false">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customFormat="false" ht="14.25" hidden="false" customHeight="true" outlineLevel="0" collapsed="false">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customFormat="false" ht="14.25" hidden="false" customHeight="true" outlineLevel="0" collapsed="false">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customFormat="false" ht="14.25" hidden="false" customHeight="true" outlineLevel="0" collapsed="false">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customFormat="false" ht="14.25" hidden="false" customHeight="true" outlineLevel="0" collapsed="false">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customFormat="false" ht="14.25" hidden="false" customHeight="true" outlineLevel="0" collapsed="false">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customFormat="false" ht="14.25" hidden="false" customHeight="true" outlineLevel="0" collapsed="false">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customFormat="false" ht="14.25" hidden="false" customHeight="true" outlineLevel="0" collapsed="false">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customFormat="false" ht="14.25" hidden="false" customHeight="true" outlineLevel="0" collapsed="false">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customFormat="false" ht="14.25" hidden="false" customHeight="true" outlineLevel="0" collapsed="false">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customFormat="false" ht="14.25" hidden="false" customHeight="true" outlineLevel="0" collapsed="false">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customFormat="false" ht="14.25" hidden="false" customHeight="true" outlineLevel="0" collapsed="false">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customFormat="false" ht="14.25" hidden="false" customHeight="true" outlineLevel="0" collapsed="false">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customFormat="false" ht="14.25" hidden="false" customHeight="true" outlineLevel="0" collapsed="false">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customFormat="false" ht="14.25" hidden="false" customHeight="true" outlineLevel="0" collapsed="false">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customFormat="false" ht="14.25" hidden="false" customHeight="true" outlineLevel="0" collapsed="false">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customFormat="false" ht="14.25" hidden="false" customHeight="true" outlineLevel="0" collapsed="false">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customFormat="false" ht="14.25" hidden="false" customHeight="true" outlineLevel="0" collapsed="false">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customFormat="false" ht="14.25" hidden="false" customHeight="true" outlineLevel="0" collapsed="false">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customFormat="false" ht="14.25" hidden="false" customHeight="true" outlineLevel="0" collapsed="false">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customFormat="false" ht="14.25" hidden="false" customHeight="true" outlineLevel="0" collapsed="false">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customFormat="false" ht="14.25" hidden="false" customHeight="true" outlineLevel="0" collapsed="false">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customFormat="false" ht="14.25" hidden="false" customHeight="true" outlineLevel="0" collapsed="false">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customFormat="false" ht="14.25" hidden="false" customHeight="true" outlineLevel="0" collapsed="false">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customFormat="false" ht="14.25" hidden="false" customHeight="true" outlineLevel="0" collapsed="false">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customFormat="false" ht="14.25" hidden="false" customHeight="true" outlineLevel="0" collapsed="false">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customFormat="false" ht="14.25" hidden="false" customHeight="true" outlineLevel="0" collapsed="false">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customFormat="false" ht="14.25" hidden="false" customHeight="true" outlineLevel="0" collapsed="false">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customFormat="false" ht="14.25" hidden="false" customHeight="true" outlineLevel="0" collapsed="false">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customFormat="false" ht="14.25" hidden="false" customHeight="true" outlineLevel="0" collapsed="false">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customFormat="false" ht="14.25" hidden="false" customHeight="true" outlineLevel="0" collapsed="false">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customFormat="false" ht="14.25" hidden="false" customHeight="true" outlineLevel="0" collapsed="false">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customFormat="false" ht="14.25" hidden="false" customHeight="true" outlineLevel="0" collapsed="false">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customFormat="false" ht="14.25" hidden="false" customHeight="true" outlineLevel="0" collapsed="false">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customFormat="false" ht="14.25" hidden="false" customHeight="true" outlineLevel="0" collapsed="false">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customFormat="false" ht="14.25" hidden="false" customHeight="true" outlineLevel="0" collapsed="false">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customFormat="false" ht="14.25" hidden="false" customHeight="true" outlineLevel="0" collapsed="false">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customFormat="false" ht="14.25" hidden="false" customHeight="true" outlineLevel="0" collapsed="false">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customFormat="false" ht="14.25" hidden="false" customHeight="true" outlineLevel="0" collapsed="false">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customFormat="false" ht="14.25" hidden="false" customHeight="true" outlineLevel="0" collapsed="false">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customFormat="false" ht="14.25" hidden="false" customHeight="true" outlineLevel="0" collapsed="false">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customFormat="false" ht="14.25" hidden="false" customHeight="true" outlineLevel="0" collapsed="false">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customFormat="false" ht="14.25" hidden="false" customHeight="true" outlineLevel="0" collapsed="false">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customFormat="false" ht="14.25" hidden="false" customHeight="true" outlineLevel="0" collapsed="false">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customFormat="false" ht="14.25" hidden="false" customHeight="true" outlineLevel="0" collapsed="false">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customFormat="false" ht="14.25" hidden="false" customHeight="true" outlineLevel="0" collapsed="false">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customFormat="false" ht="14.25" hidden="false" customHeight="true" outlineLevel="0" collapsed="false">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customFormat="false" ht="14.25" hidden="false" customHeight="true" outlineLevel="0" collapsed="false">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customFormat="false" ht="14.25" hidden="false" customHeight="true" outlineLevel="0" collapsed="false">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customFormat="false" ht="14.25" hidden="false" customHeight="true" outlineLevel="0" collapsed="false">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customFormat="false" ht="14.25" hidden="false" customHeight="true" outlineLevel="0" collapsed="false">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customFormat="false" ht="14.25" hidden="false" customHeight="true" outlineLevel="0" collapsed="false">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customFormat="false" ht="14.25" hidden="false" customHeight="true" outlineLevel="0" collapsed="false">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customFormat="false" ht="14.25" hidden="false" customHeight="true" outlineLevel="0" collapsed="false">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customFormat="false" ht="14.25" hidden="false" customHeight="true" outlineLevel="0" collapsed="false">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customFormat="false" ht="14.25" hidden="false" customHeight="true" outlineLevel="0" collapsed="false">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customFormat="false" ht="14.25" hidden="false" customHeight="true" outlineLevel="0" collapsed="false">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customFormat="false" ht="14.25" hidden="false" customHeight="true" outlineLevel="0" collapsed="false">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customFormat="false" ht="14.25" hidden="false" customHeight="true" outlineLevel="0" collapsed="false">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customFormat="false" ht="14.25" hidden="false" customHeight="true" outlineLevel="0" collapsed="false">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customFormat="false" ht="14.25" hidden="false" customHeight="true" outlineLevel="0" collapsed="false">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customFormat="false" ht="14.25" hidden="false" customHeight="true" outlineLevel="0" collapsed="false">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customFormat="false" ht="14.25" hidden="false" customHeight="true" outlineLevel="0" collapsed="false">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customFormat="false" ht="14.25" hidden="false" customHeight="true" outlineLevel="0" collapsed="false">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customFormat="false" ht="14.25" hidden="false" customHeight="true" outlineLevel="0" collapsed="false">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customFormat="false" ht="14.25" hidden="false" customHeight="true" outlineLevel="0" collapsed="false">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customFormat="false" ht="14.25" hidden="false" customHeight="true" outlineLevel="0" collapsed="false">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customFormat="false" ht="14.25" hidden="false" customHeight="true" outlineLevel="0" collapsed="false">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customFormat="false" ht="14.25" hidden="false" customHeight="true" outlineLevel="0" collapsed="false">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customFormat="false" ht="14.25" hidden="false" customHeight="true" outlineLevel="0" collapsed="false">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customFormat="false" ht="14.25" hidden="false" customHeight="true" outlineLevel="0" collapsed="false">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customFormat="false" ht="14.25" hidden="false" customHeight="true" outlineLevel="0" collapsed="false">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customFormat="false" ht="14.25" hidden="false" customHeight="true" outlineLevel="0" collapsed="false">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customFormat="false" ht="14.25" hidden="false" customHeight="true" outlineLevel="0" collapsed="false">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customFormat="false" ht="14.25" hidden="false" customHeight="true" outlineLevel="0" collapsed="false">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customFormat="false" ht="14.25" hidden="false" customHeight="true" outlineLevel="0" collapsed="false">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customFormat="false" ht="14.25" hidden="false" customHeight="true" outlineLevel="0" collapsed="false">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customFormat="false" ht="14.25" hidden="false" customHeight="true" outlineLevel="0" collapsed="false">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customFormat="false" ht="14.25" hidden="false" customHeight="true" outlineLevel="0" collapsed="false">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customFormat="false" ht="14.25" hidden="false" customHeight="true" outlineLevel="0" collapsed="false">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customFormat="false" ht="14.25" hidden="false" customHeight="true" outlineLevel="0" collapsed="false">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customFormat="false" ht="14.25" hidden="false" customHeight="true" outlineLevel="0" collapsed="false">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customFormat="false" ht="14.25" hidden="false" customHeight="true" outlineLevel="0" collapsed="false">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customFormat="false" ht="14.25" hidden="false" customHeight="true" outlineLevel="0" collapsed="false">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customFormat="false" ht="14.25" hidden="false" customHeight="true" outlineLevel="0" collapsed="false">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customFormat="false" ht="14.25" hidden="false" customHeight="true" outlineLevel="0" collapsed="false">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customFormat="false" ht="14.25" hidden="false" customHeight="true" outlineLevel="0" collapsed="false">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customFormat="false" ht="14.25" hidden="false" customHeight="true" outlineLevel="0" collapsed="false">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customFormat="false" ht="14.25" hidden="false" customHeight="true" outlineLevel="0" collapsed="false">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customFormat="false" ht="14.25" hidden="false" customHeight="true" outlineLevel="0" collapsed="false">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customFormat="false" ht="14.25" hidden="false" customHeight="true" outlineLevel="0" collapsed="false">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customFormat="false" ht="14.25" hidden="false" customHeight="true" outlineLevel="0" collapsed="false">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customFormat="false" ht="14.25" hidden="false" customHeight="true" outlineLevel="0" collapsed="false">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customFormat="false" ht="14.25" hidden="false" customHeight="true" outlineLevel="0" collapsed="false">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customFormat="false" ht="14.25" hidden="false" customHeight="true" outlineLevel="0" collapsed="false">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customFormat="false" ht="14.25" hidden="false" customHeight="true" outlineLevel="0" collapsed="false">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customFormat="false" ht="14.25" hidden="false" customHeight="true" outlineLevel="0" collapsed="false">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customFormat="false" ht="14.25" hidden="false" customHeight="true" outlineLevel="0" collapsed="false">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customFormat="false" ht="14.25" hidden="false" customHeight="true" outlineLevel="0" collapsed="false">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customFormat="false" ht="14.25" hidden="false" customHeight="true" outlineLevel="0" collapsed="false">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customFormat="false" ht="14.25" hidden="false" customHeight="true" outlineLevel="0" collapsed="false">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customFormat="false" ht="14.25" hidden="false" customHeight="true" outlineLevel="0" collapsed="false">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customFormat="false" ht="14.25" hidden="false" customHeight="true" outlineLevel="0" collapsed="false">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customFormat="false" ht="14.25" hidden="false" customHeight="true" outlineLevel="0" collapsed="false">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customFormat="false" ht="14.25" hidden="false" customHeight="true" outlineLevel="0" collapsed="false">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customFormat="false" ht="14.25" hidden="false" customHeight="true" outlineLevel="0" collapsed="false">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customFormat="false" ht="14.25" hidden="false" customHeight="true" outlineLevel="0" collapsed="false">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customFormat="false" ht="14.25" hidden="false" customHeight="true" outlineLevel="0" collapsed="false">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customFormat="false" ht="14.25" hidden="false" customHeight="true" outlineLevel="0" collapsed="false">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customFormat="false" ht="14.25" hidden="false" customHeight="true" outlineLevel="0" collapsed="false">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customFormat="false" ht="14.25" hidden="false" customHeight="true" outlineLevel="0" collapsed="false">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customFormat="false" ht="14.25" hidden="false" customHeight="true" outlineLevel="0" collapsed="false">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customFormat="false" ht="14.25" hidden="false" customHeight="true" outlineLevel="0" collapsed="false">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customFormat="false" ht="14.25" hidden="false" customHeight="true" outlineLevel="0" collapsed="false">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customFormat="false" ht="14.25" hidden="false" customHeight="true" outlineLevel="0" collapsed="false">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customFormat="false" ht="14.25" hidden="false" customHeight="true" outlineLevel="0" collapsed="false">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customFormat="false" ht="14.25" hidden="false" customHeight="true" outlineLevel="0" collapsed="false">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customFormat="false" ht="14.25" hidden="false" customHeight="true" outlineLevel="0" collapsed="false">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customFormat="false" ht="14.25" hidden="false" customHeight="true" outlineLevel="0" collapsed="false">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customFormat="false" ht="14.25" hidden="false" customHeight="true" outlineLevel="0" collapsed="false">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customFormat="false" ht="14.25" hidden="false" customHeight="true" outlineLevel="0" collapsed="false">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customFormat="false" ht="14.25" hidden="false" customHeight="true" outlineLevel="0" collapsed="false">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customFormat="false" ht="14.25" hidden="false" customHeight="true" outlineLevel="0" collapsed="false">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customFormat="false" ht="14.25" hidden="false" customHeight="true" outlineLevel="0" collapsed="false">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customFormat="false" ht="14.25" hidden="false" customHeight="true" outlineLevel="0" collapsed="false">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customFormat="false" ht="14.25" hidden="false" customHeight="true" outlineLevel="0" collapsed="false">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customFormat="false" ht="14.25" hidden="false" customHeight="true" outlineLevel="0" collapsed="false">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customFormat="false" ht="14.25" hidden="false" customHeight="true" outlineLevel="0" collapsed="false">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customFormat="false" ht="14.25" hidden="false" customHeight="true" outlineLevel="0" collapsed="false">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customFormat="false" ht="14.25" hidden="false" customHeight="true" outlineLevel="0" collapsed="false">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customFormat="false" ht="14.25" hidden="false" customHeight="true" outlineLevel="0" collapsed="false">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customFormat="false" ht="14.25" hidden="false" customHeight="true" outlineLevel="0" collapsed="false">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customFormat="false" ht="14.25" hidden="false" customHeight="true" outlineLevel="0" collapsed="false">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customFormat="false" ht="14.25" hidden="false" customHeight="true" outlineLevel="0" collapsed="false">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customFormat="false" ht="14.25" hidden="false" customHeight="true" outlineLevel="0" collapsed="false">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customFormat="false" ht="14.25" hidden="false" customHeight="true" outlineLevel="0" collapsed="false">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customFormat="false" ht="14.25" hidden="false" customHeight="true" outlineLevel="0" collapsed="false">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customFormat="false" ht="14.25" hidden="false" customHeight="true" outlineLevel="0" collapsed="false">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customFormat="false" ht="14.25" hidden="false" customHeight="true" outlineLevel="0" collapsed="false">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customFormat="false" ht="14.25" hidden="false" customHeight="true" outlineLevel="0" collapsed="false">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customFormat="false" ht="14.25" hidden="false" customHeight="true" outlineLevel="0" collapsed="false">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customFormat="false" ht="14.25" hidden="false" customHeight="true" outlineLevel="0" collapsed="false">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customFormat="false" ht="14.25" hidden="false" customHeight="true" outlineLevel="0" collapsed="false">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customFormat="false" ht="14.25" hidden="false" customHeight="true" outlineLevel="0" collapsed="false">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customFormat="false" ht="14.25" hidden="false" customHeight="true" outlineLevel="0" collapsed="false">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customFormat="false" ht="14.25" hidden="false" customHeight="true" outlineLevel="0" collapsed="false">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customFormat="false" ht="14.25" hidden="false" customHeight="true" outlineLevel="0" collapsed="false">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customFormat="false" ht="14.25" hidden="false" customHeight="true" outlineLevel="0" collapsed="false">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customFormat="false" ht="14.25" hidden="false" customHeight="true" outlineLevel="0" collapsed="false">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customFormat="false" ht="14.25" hidden="false" customHeight="true" outlineLevel="0" collapsed="false">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customFormat="false" ht="14.25" hidden="false" customHeight="true" outlineLevel="0" collapsed="false">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customFormat="false" ht="14.25" hidden="false" customHeight="true" outlineLevel="0" collapsed="false">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customFormat="false" ht="14.25" hidden="false" customHeight="true" outlineLevel="0" collapsed="false">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customFormat="false" ht="14.25" hidden="false" customHeight="true" outlineLevel="0" collapsed="false">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customFormat="false" ht="14.25" hidden="false" customHeight="true" outlineLevel="0" collapsed="false">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customFormat="false" ht="14.25" hidden="false" customHeight="true" outlineLevel="0" collapsed="false">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customFormat="false" ht="14.25" hidden="false" customHeight="true" outlineLevel="0" collapsed="false">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customFormat="false" ht="14.25" hidden="false" customHeight="true" outlineLevel="0" collapsed="false">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customFormat="false" ht="14.25" hidden="false" customHeight="true" outlineLevel="0" collapsed="false">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customFormat="false" ht="14.25" hidden="false" customHeight="true" outlineLevel="0" collapsed="false">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customFormat="false" ht="14.25" hidden="false" customHeight="true" outlineLevel="0" collapsed="false">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customFormat="false" ht="14.25" hidden="false" customHeight="true" outlineLevel="0" collapsed="false">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customFormat="false" ht="14.25" hidden="false" customHeight="true" outlineLevel="0" collapsed="false">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customFormat="false" ht="14.25" hidden="false" customHeight="true" outlineLevel="0" collapsed="false">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customFormat="false" ht="14.25" hidden="false" customHeight="true" outlineLevel="0" collapsed="false">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customFormat="false" ht="14.25" hidden="false" customHeight="true" outlineLevel="0" collapsed="false">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customFormat="false" ht="14.25" hidden="false" customHeight="true" outlineLevel="0" collapsed="false">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customFormat="false" ht="14.25" hidden="false" customHeight="true" outlineLevel="0" collapsed="false">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customFormat="false" ht="14.25" hidden="false" customHeight="true" outlineLevel="0" collapsed="false">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customFormat="false" ht="14.25" hidden="false" customHeight="true" outlineLevel="0" collapsed="false">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customFormat="false" ht="14.25" hidden="false" customHeight="true" outlineLevel="0" collapsed="false">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customFormat="false" ht="14.25" hidden="false" customHeight="true" outlineLevel="0" collapsed="false">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customFormat="false" ht="14.25" hidden="false" customHeight="true" outlineLevel="0" collapsed="false">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customFormat="false" ht="14.25" hidden="false" customHeight="true" outlineLevel="0" collapsed="false">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customFormat="false" ht="14.25" hidden="false" customHeight="true" outlineLevel="0" collapsed="false">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customFormat="false" ht="14.25" hidden="false" customHeight="true" outlineLevel="0" collapsed="false">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customFormat="false" ht="14.25" hidden="false" customHeight="true" outlineLevel="0" collapsed="false">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customFormat="false" ht="14.25" hidden="false" customHeight="true" outlineLevel="0" collapsed="false">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customFormat="false" ht="14.25" hidden="false" customHeight="true" outlineLevel="0" collapsed="false">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customFormat="false" ht="14.25" hidden="false" customHeight="true" outlineLevel="0" collapsed="false">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customFormat="false" ht="14.25" hidden="false" customHeight="true" outlineLevel="0" collapsed="false">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customFormat="false" ht="14.25" hidden="false" customHeight="true" outlineLevel="0" collapsed="false">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customFormat="false" ht="14.25" hidden="false" customHeight="true" outlineLevel="0" collapsed="false">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customFormat="false" ht="14.25" hidden="false" customHeight="true" outlineLevel="0" collapsed="false">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customFormat="false" ht="14.25" hidden="false" customHeight="true" outlineLevel="0" collapsed="false">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customFormat="false" ht="14.25" hidden="false" customHeight="true" outlineLevel="0" collapsed="false">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customFormat="false" ht="14.25" hidden="false" customHeight="true" outlineLevel="0" collapsed="false">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customFormat="false" ht="14.25" hidden="false" customHeight="true" outlineLevel="0" collapsed="false">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customFormat="false" ht="14.25" hidden="false" customHeight="true" outlineLevel="0" collapsed="false">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customFormat="false" ht="14.25" hidden="false" customHeight="true" outlineLevel="0" collapsed="false">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customFormat="false" ht="14.25" hidden="false" customHeight="true" outlineLevel="0" collapsed="false">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customFormat="false" ht="14.25" hidden="false" customHeight="true" outlineLevel="0" collapsed="false">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customFormat="false" ht="14.25" hidden="false" customHeight="true" outlineLevel="0" collapsed="false">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customFormat="false" ht="14.25" hidden="false" customHeight="true" outlineLevel="0" collapsed="false">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customFormat="false" ht="14.25" hidden="false" customHeight="true" outlineLevel="0" collapsed="false">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customFormat="false" ht="14.25" hidden="false" customHeight="true" outlineLevel="0" collapsed="false">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customFormat="false" ht="14.25" hidden="false" customHeight="true" outlineLevel="0" collapsed="false">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customFormat="false" ht="14.25" hidden="false" customHeight="true" outlineLevel="0" collapsed="false">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customFormat="false" ht="14.25" hidden="false" customHeight="true" outlineLevel="0" collapsed="false">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customFormat="false" ht="14.25" hidden="false" customHeight="true" outlineLevel="0" collapsed="false">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customFormat="false" ht="14.25" hidden="false" customHeight="true" outlineLevel="0" collapsed="false">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customFormat="false" ht="14.25" hidden="false" customHeight="true" outlineLevel="0" collapsed="false">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customFormat="false" ht="14.25" hidden="false" customHeight="true" outlineLevel="0" collapsed="false">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customFormat="false" ht="14.25" hidden="false" customHeight="true" outlineLevel="0" collapsed="false">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customFormat="false" ht="14.25" hidden="false" customHeight="true" outlineLevel="0" collapsed="false">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customFormat="false" ht="14.25" hidden="false" customHeight="true" outlineLevel="0" collapsed="false">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customFormat="false" ht="14.25" hidden="false" customHeight="true" outlineLevel="0" collapsed="false">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customFormat="false" ht="14.25" hidden="false" customHeight="true" outlineLevel="0" collapsed="false">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customFormat="false" ht="14.25" hidden="false" customHeight="true" outlineLevel="0" collapsed="false">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customFormat="false" ht="14.25" hidden="false" customHeight="true" outlineLevel="0" collapsed="false">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customFormat="false" ht="14.25" hidden="false" customHeight="true" outlineLevel="0" collapsed="false">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customFormat="false" ht="14.25" hidden="false" customHeight="true" outlineLevel="0" collapsed="false">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customFormat="false" ht="14.25" hidden="false" customHeight="true" outlineLevel="0" collapsed="false">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customFormat="false" ht="14.25" hidden="false" customHeight="true" outlineLevel="0" collapsed="false">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customFormat="false" ht="14.25" hidden="false" customHeight="true" outlineLevel="0" collapsed="false">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customFormat="false" ht="14.25" hidden="false" customHeight="true" outlineLevel="0" collapsed="false">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customFormat="false" ht="14.25" hidden="false" customHeight="true" outlineLevel="0" collapsed="false">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customFormat="false" ht="14.25" hidden="false" customHeight="true" outlineLevel="0" collapsed="false">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customFormat="false" ht="14.25" hidden="false" customHeight="true" outlineLevel="0" collapsed="false">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customFormat="false" ht="14.25" hidden="false" customHeight="true" outlineLevel="0" collapsed="false">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customFormat="false" ht="14.25" hidden="false" customHeight="true" outlineLevel="0" collapsed="false">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customFormat="false" ht="14.25" hidden="false" customHeight="true" outlineLevel="0" collapsed="false">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customFormat="false" ht="14.25" hidden="false" customHeight="true" outlineLevel="0" collapsed="false">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customFormat="false" ht="14.25" hidden="false" customHeight="true" outlineLevel="0" collapsed="false">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customFormat="false" ht="14.25" hidden="false" customHeight="true" outlineLevel="0" collapsed="false">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customFormat="false" ht="14.25" hidden="false" customHeight="true" outlineLevel="0" collapsed="false">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customFormat="false" ht="14.25" hidden="false" customHeight="true" outlineLevel="0" collapsed="false">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customFormat="false" ht="14.25" hidden="false" customHeight="true" outlineLevel="0" collapsed="false">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customFormat="false" ht="14.25" hidden="false" customHeight="true" outlineLevel="0" collapsed="false">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customFormat="false" ht="14.25" hidden="false" customHeight="true" outlineLevel="0" collapsed="false">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customFormat="false" ht="14.25" hidden="false" customHeight="true" outlineLevel="0" collapsed="false">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customFormat="false" ht="14.25" hidden="false" customHeight="true" outlineLevel="0" collapsed="false">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customFormat="false" ht="14.25" hidden="false" customHeight="true" outlineLevel="0" collapsed="false">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customFormat="false" ht="14.25" hidden="false" customHeight="true" outlineLevel="0" collapsed="false">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customFormat="false" ht="14.25" hidden="false" customHeight="true" outlineLevel="0" collapsed="false">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customFormat="false" ht="14.25" hidden="false" customHeight="true" outlineLevel="0" collapsed="false">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customFormat="false" ht="14.25" hidden="false" customHeight="true" outlineLevel="0" collapsed="false">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customFormat="false" ht="14.25" hidden="false" customHeight="true" outlineLevel="0" collapsed="false">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customFormat="false" ht="14.25" hidden="false" customHeight="true" outlineLevel="0" collapsed="false">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customFormat="false" ht="14.25" hidden="false" customHeight="true" outlineLevel="0" collapsed="false">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customFormat="false" ht="14.25" hidden="false" customHeight="true" outlineLevel="0" collapsed="false">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customFormat="false" ht="14.25" hidden="false" customHeight="true" outlineLevel="0" collapsed="false">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customFormat="false" ht="14.25" hidden="false" customHeight="true" outlineLevel="0" collapsed="false">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customFormat="false" ht="14.25" hidden="false" customHeight="true" outlineLevel="0" collapsed="false">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customFormat="false" ht="14.25" hidden="false" customHeight="true" outlineLevel="0" collapsed="false">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customFormat="false" ht="14.25" hidden="false" customHeight="true" outlineLevel="0" collapsed="false">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customFormat="false" ht="14.25" hidden="false" customHeight="true" outlineLevel="0" collapsed="false">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customFormat="false" ht="14.25" hidden="false" customHeight="true" outlineLevel="0" collapsed="false">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customFormat="false" ht="14.25" hidden="false" customHeight="true" outlineLevel="0" collapsed="false">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customFormat="false" ht="14.25" hidden="false" customHeight="true" outlineLevel="0" collapsed="false">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customFormat="false" ht="14.25" hidden="false" customHeight="true" outlineLevel="0" collapsed="false">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customFormat="false" ht="14.25" hidden="false" customHeight="true" outlineLevel="0" collapsed="false">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customFormat="false" ht="14.25" hidden="false" customHeight="true" outlineLevel="0" collapsed="false">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customFormat="false" ht="14.25" hidden="false" customHeight="true" outlineLevel="0" collapsed="false">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customFormat="false" ht="14.25" hidden="false" customHeight="true" outlineLevel="0" collapsed="false">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customFormat="false" ht="14.25" hidden="false" customHeight="true" outlineLevel="0" collapsed="false">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customFormat="false" ht="14.25" hidden="false" customHeight="true" outlineLevel="0" collapsed="false">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customFormat="false" ht="14.25" hidden="false" customHeight="true" outlineLevel="0" collapsed="false">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customFormat="false" ht="14.25" hidden="false" customHeight="true" outlineLevel="0" collapsed="false">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customFormat="false" ht="14.25" hidden="false" customHeight="true" outlineLevel="0" collapsed="false">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customFormat="false" ht="14.25" hidden="false" customHeight="true" outlineLevel="0" collapsed="false">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customFormat="false" ht="14.25" hidden="false" customHeight="true" outlineLevel="0" collapsed="false">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customFormat="false" ht="14.25" hidden="false" customHeight="true" outlineLevel="0" collapsed="false">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customFormat="false" ht="14.25" hidden="false" customHeight="true" outlineLevel="0" collapsed="false">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customFormat="false" ht="14.25" hidden="false" customHeight="true" outlineLevel="0" collapsed="false">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customFormat="false" ht="14.25" hidden="false" customHeight="true" outlineLevel="0" collapsed="false">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customFormat="false" ht="14.25" hidden="false" customHeight="true" outlineLevel="0" collapsed="false">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customFormat="false" ht="14.25" hidden="false" customHeight="true" outlineLevel="0" collapsed="false">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customFormat="false" ht="14.25" hidden="false" customHeight="true" outlineLevel="0" collapsed="false">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customFormat="false" ht="14.25" hidden="false" customHeight="true" outlineLevel="0" collapsed="false">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customFormat="false" ht="14.25" hidden="false" customHeight="true" outlineLevel="0" collapsed="false">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customFormat="false" ht="14.25" hidden="false" customHeight="true" outlineLevel="0" collapsed="false">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customFormat="false" ht="14.25" hidden="false" customHeight="true" outlineLevel="0" collapsed="false">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customFormat="false" ht="14.25" hidden="false" customHeight="true" outlineLevel="0" collapsed="false">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customFormat="false" ht="14.25" hidden="false" customHeight="true" outlineLevel="0" collapsed="false">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customFormat="false" ht="14.25" hidden="false" customHeight="true" outlineLevel="0" collapsed="false">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customFormat="false" ht="14.25" hidden="false" customHeight="true" outlineLevel="0" collapsed="false">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customFormat="false" ht="14.25" hidden="false" customHeight="true" outlineLevel="0" collapsed="false">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customFormat="false" ht="14.25" hidden="false" customHeight="true" outlineLevel="0" collapsed="false">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customFormat="false" ht="14.25" hidden="false" customHeight="true" outlineLevel="0" collapsed="false">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customFormat="false" ht="14.25" hidden="false" customHeight="true" outlineLevel="0" collapsed="false">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customFormat="false" ht="14.25" hidden="false" customHeight="true" outlineLevel="0" collapsed="false">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customFormat="false" ht="14.25" hidden="false" customHeight="true" outlineLevel="0" collapsed="false">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customFormat="false" ht="14.25" hidden="false" customHeight="true" outlineLevel="0" collapsed="false">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customFormat="false" ht="14.25" hidden="false" customHeight="true" outlineLevel="0" collapsed="false">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customFormat="false" ht="14.25" hidden="false" customHeight="true" outlineLevel="0" collapsed="false">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customFormat="false" ht="14.25" hidden="false" customHeight="true" outlineLevel="0" collapsed="false">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customFormat="false" ht="14.25" hidden="false" customHeight="true" outlineLevel="0" collapsed="false">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customFormat="false" ht="14.25" hidden="false" customHeight="true" outlineLevel="0" collapsed="false">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customFormat="false" ht="14.25" hidden="false" customHeight="true" outlineLevel="0" collapsed="false">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customFormat="false" ht="14.25" hidden="false" customHeight="true" outlineLevel="0" collapsed="false">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customFormat="false" ht="14.25" hidden="false" customHeight="true" outlineLevel="0" collapsed="false">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customFormat="false" ht="14.25" hidden="false" customHeight="true" outlineLevel="0" collapsed="false">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customFormat="false" ht="14.25" hidden="false" customHeight="true" outlineLevel="0" collapsed="false">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customFormat="false" ht="14.25" hidden="false" customHeight="true" outlineLevel="0" collapsed="false">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customFormat="false" ht="14.25" hidden="false" customHeight="true" outlineLevel="0" collapsed="false">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customFormat="false" ht="14.25" hidden="false" customHeight="true" outlineLevel="0" collapsed="false">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customFormat="false" ht="14.25" hidden="false" customHeight="true" outlineLevel="0" collapsed="false">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customFormat="false" ht="14.25" hidden="false" customHeight="true" outlineLevel="0" collapsed="false">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customFormat="false" ht="14.25" hidden="false" customHeight="true" outlineLevel="0" collapsed="false">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customFormat="false" ht="14.25" hidden="false" customHeight="true" outlineLevel="0" collapsed="false">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customFormat="false" ht="14.25" hidden="false" customHeight="true" outlineLevel="0" collapsed="false">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customFormat="false" ht="14.25" hidden="false" customHeight="true" outlineLevel="0" collapsed="false">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customFormat="false" ht="14.25" hidden="false" customHeight="true" outlineLevel="0" collapsed="false">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customFormat="false" ht="14.25" hidden="false" customHeight="true" outlineLevel="0" collapsed="false">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customFormat="false" ht="14.25" hidden="false" customHeight="true" outlineLevel="0" collapsed="false">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customFormat="false" ht="14.25" hidden="false" customHeight="true" outlineLevel="0" collapsed="false">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customFormat="false" ht="14.25" hidden="false" customHeight="true" outlineLevel="0" collapsed="false">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customFormat="false" ht="14.25" hidden="false" customHeight="true" outlineLevel="0" collapsed="false">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customFormat="false" ht="14.25" hidden="false" customHeight="true" outlineLevel="0" collapsed="false">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customFormat="false" ht="14.25" hidden="false" customHeight="true" outlineLevel="0" collapsed="false">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customFormat="false" ht="14.25" hidden="false" customHeight="true" outlineLevel="0" collapsed="false">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customFormat="false" ht="14.25" hidden="false" customHeight="true" outlineLevel="0" collapsed="false">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customFormat="false" ht="14.25" hidden="false" customHeight="true" outlineLevel="0" collapsed="false">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customFormat="false" ht="14.25" hidden="false" customHeight="true" outlineLevel="0" collapsed="false">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customFormat="false" ht="14.25" hidden="false" customHeight="true" outlineLevel="0" collapsed="false">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customFormat="false" ht="14.25" hidden="false" customHeight="true" outlineLevel="0" collapsed="false">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customFormat="false" ht="14.25" hidden="false" customHeight="true" outlineLevel="0" collapsed="false">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customFormat="false" ht="14.25" hidden="false" customHeight="true" outlineLevel="0" collapsed="false">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customFormat="false" ht="14.25" hidden="false" customHeight="true" outlineLevel="0" collapsed="false">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customFormat="false" ht="14.25" hidden="false" customHeight="true" outlineLevel="0" collapsed="false">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customFormat="false" ht="14.25" hidden="false" customHeight="true" outlineLevel="0" collapsed="false">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customFormat="false" ht="14.25" hidden="false" customHeight="true" outlineLevel="0" collapsed="false">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customFormat="false" ht="14.25" hidden="false" customHeight="true" outlineLevel="0" collapsed="false">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customFormat="false" ht="14.25" hidden="false" customHeight="true" outlineLevel="0" collapsed="false">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customFormat="false" ht="14.25" hidden="false" customHeight="true" outlineLevel="0" collapsed="false">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customFormat="false" ht="14.25" hidden="false" customHeight="true" outlineLevel="0" collapsed="false">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customFormat="false" ht="14.25" hidden="false" customHeight="true" outlineLevel="0" collapsed="false">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customFormat="false" ht="14.25" hidden="false" customHeight="true" outlineLevel="0" collapsed="false">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customFormat="false" ht="14.25" hidden="false" customHeight="true" outlineLevel="0" collapsed="false">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customFormat="false" ht="14.25" hidden="false" customHeight="true" outlineLevel="0" collapsed="false">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customFormat="false" ht="14.25" hidden="false" customHeight="true" outlineLevel="0" collapsed="false">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customFormat="false" ht="14.25" hidden="false" customHeight="true" outlineLevel="0" collapsed="false">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ustomFormat="false" ht="14.25" hidden="false" customHeight="true" outlineLevel="0" collapsed="false">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sheetData>
  <mergeCells count="11">
    <mergeCell ref="B8:F8"/>
    <mergeCell ref="B9:F9"/>
    <mergeCell ref="B10:F10"/>
    <mergeCell ref="B11:F11"/>
    <mergeCell ref="B12:F12"/>
    <mergeCell ref="E13:F13"/>
    <mergeCell ref="E14:F14"/>
    <mergeCell ref="E15:F15"/>
    <mergeCell ref="E16:F16"/>
    <mergeCell ref="E17:F17"/>
    <mergeCell ref="D18:F18"/>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&amp;R&amp;"Courier New,Regular"&amp;10 &amp;K0078d7#مقيد – عام</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6"/>
  <sheetViews>
    <sheetView showFormulas="false" showGridLines="false" showRowColHeaders="true" showZeros="true" rightToLeft="false" tabSelected="false" showOutlineSymbols="true" defaultGridColor="true" view="normal" topLeftCell="A28" colorId="64" zoomScale="100" zoomScaleNormal="100" zoomScalePageLayoutView="100" workbookViewId="0">
      <selection pane="topLeft" activeCell="C18" activeCellId="0" sqref="C18"/>
    </sheetView>
  </sheetViews>
  <sheetFormatPr defaultColWidth="14.4453125" defaultRowHeight="15" zeroHeight="false" outlineLevelRow="0" outlineLevelCol="0"/>
  <cols>
    <col collapsed="false" customWidth="true" hidden="false" outlineLevel="0" max="1" min="1" style="28" width="8"/>
    <col collapsed="false" customWidth="true" hidden="false" outlineLevel="0" max="2" min="2" style="28" width="41.44"/>
    <col collapsed="false" customWidth="true" hidden="false" outlineLevel="0" max="5" min="3" style="28" width="36.88"/>
    <col collapsed="false" customWidth="true" hidden="false" outlineLevel="0" max="6" min="6" style="28" width="8"/>
    <col collapsed="false" customWidth="false" hidden="false" outlineLevel="0" max="16384" min="7" style="28" width="14.44"/>
  </cols>
  <sheetData>
    <row r="1" customFormat="false" ht="15" hidden="false" customHeight="true" outlineLevel="0" collapsed="false">
      <c r="A1" s="29"/>
      <c r="B1" s="30"/>
      <c r="C1" s="30"/>
      <c r="D1" s="30"/>
      <c r="E1" s="30"/>
      <c r="F1" s="31"/>
      <c r="G1" s="32"/>
      <c r="H1" s="32"/>
      <c r="I1" s="32"/>
      <c r="J1" s="32"/>
      <c r="K1" s="32"/>
      <c r="L1" s="32"/>
      <c r="M1" s="32"/>
      <c r="N1" s="32"/>
      <c r="O1" s="32"/>
      <c r="P1" s="32"/>
      <c r="Q1" s="32"/>
      <c r="R1" s="32"/>
      <c r="S1" s="32"/>
      <c r="T1" s="32"/>
      <c r="U1" s="32"/>
      <c r="V1" s="32"/>
      <c r="W1" s="32"/>
      <c r="X1" s="32"/>
      <c r="Y1" s="32"/>
      <c r="Z1" s="32"/>
    </row>
    <row r="2" customFormat="false" ht="15" hidden="false" customHeight="true" outlineLevel="0" collapsed="false">
      <c r="A2" s="33"/>
      <c r="B2" s="34"/>
      <c r="C2" s="34"/>
      <c r="D2" s="34"/>
      <c r="E2" s="34"/>
      <c r="F2" s="35"/>
      <c r="G2" s="32"/>
      <c r="H2" s="32"/>
      <c r="I2" s="32"/>
      <c r="J2" s="32"/>
      <c r="K2" s="32"/>
      <c r="L2" s="32"/>
      <c r="M2" s="32"/>
      <c r="N2" s="32"/>
      <c r="O2" s="32"/>
      <c r="P2" s="32"/>
      <c r="Q2" s="32"/>
      <c r="R2" s="32"/>
      <c r="S2" s="32"/>
      <c r="T2" s="32"/>
      <c r="U2" s="32"/>
      <c r="V2" s="32"/>
      <c r="W2" s="32"/>
      <c r="X2" s="32"/>
      <c r="Y2" s="32"/>
      <c r="Z2" s="32"/>
    </row>
    <row r="3" customFormat="false" ht="15" hidden="false" customHeight="true" outlineLevel="0" collapsed="false">
      <c r="A3" s="36"/>
      <c r="B3" s="25"/>
      <c r="C3" s="25"/>
      <c r="D3" s="25"/>
      <c r="E3" s="25"/>
      <c r="F3" s="37"/>
      <c r="G3" s="32"/>
      <c r="H3" s="32"/>
      <c r="I3" s="32"/>
      <c r="J3" s="32"/>
      <c r="K3" s="32"/>
      <c r="L3" s="32"/>
      <c r="M3" s="32"/>
      <c r="N3" s="32"/>
      <c r="O3" s="32"/>
      <c r="P3" s="32"/>
      <c r="Q3" s="32"/>
      <c r="R3" s="32"/>
      <c r="S3" s="32"/>
      <c r="T3" s="32"/>
      <c r="U3" s="32"/>
      <c r="V3" s="32"/>
      <c r="W3" s="32"/>
      <c r="X3" s="32"/>
      <c r="Y3" s="32"/>
      <c r="Z3" s="32"/>
    </row>
    <row r="4" customFormat="false" ht="15" hidden="false" customHeight="true" outlineLevel="0" collapsed="false">
      <c r="A4" s="36"/>
      <c r="B4" s="25"/>
      <c r="C4" s="25"/>
      <c r="D4" s="25"/>
      <c r="E4" s="25"/>
      <c r="F4" s="37"/>
      <c r="G4" s="32"/>
      <c r="H4" s="32"/>
      <c r="I4" s="32"/>
      <c r="J4" s="32"/>
      <c r="K4" s="32"/>
      <c r="L4" s="32"/>
      <c r="M4" s="32"/>
      <c r="N4" s="32"/>
      <c r="O4" s="32"/>
      <c r="P4" s="32"/>
      <c r="Q4" s="32"/>
      <c r="R4" s="32"/>
      <c r="S4" s="32"/>
      <c r="T4" s="32"/>
      <c r="U4" s="32"/>
      <c r="V4" s="32"/>
      <c r="W4" s="32"/>
      <c r="X4" s="32"/>
      <c r="Y4" s="32"/>
      <c r="Z4" s="32"/>
    </row>
    <row r="5" customFormat="false" ht="15" hidden="false" customHeight="true" outlineLevel="0" collapsed="false">
      <c r="A5" s="36"/>
      <c r="B5" s="25"/>
      <c r="C5" s="25"/>
      <c r="D5" s="25"/>
      <c r="E5" s="25"/>
      <c r="F5" s="37"/>
      <c r="G5" s="32"/>
      <c r="H5" s="32"/>
      <c r="I5" s="32"/>
      <c r="J5" s="32"/>
      <c r="K5" s="32"/>
      <c r="L5" s="32"/>
      <c r="M5" s="32"/>
      <c r="N5" s="32"/>
      <c r="O5" s="32"/>
      <c r="P5" s="32"/>
      <c r="Q5" s="32"/>
      <c r="R5" s="32"/>
      <c r="S5" s="32"/>
      <c r="T5" s="32"/>
      <c r="U5" s="32"/>
      <c r="V5" s="32"/>
      <c r="W5" s="32"/>
      <c r="X5" s="32"/>
      <c r="Y5" s="32"/>
      <c r="Z5" s="32"/>
    </row>
    <row r="6" customFormat="false" ht="15" hidden="false" customHeight="true" outlineLevel="0" collapsed="false">
      <c r="A6" s="36"/>
      <c r="B6" s="25"/>
      <c r="C6" s="25"/>
      <c r="D6" s="25"/>
      <c r="E6" s="25"/>
      <c r="F6" s="37"/>
      <c r="G6" s="32"/>
      <c r="H6" s="32"/>
      <c r="I6" s="32"/>
      <c r="J6" s="32"/>
      <c r="K6" s="32"/>
      <c r="L6" s="32"/>
      <c r="M6" s="32"/>
      <c r="N6" s="32"/>
      <c r="O6" s="32"/>
      <c r="P6" s="32"/>
      <c r="Q6" s="32"/>
      <c r="R6" s="32"/>
      <c r="S6" s="32"/>
      <c r="T6" s="32"/>
      <c r="U6" s="32"/>
      <c r="V6" s="32"/>
      <c r="W6" s="32"/>
      <c r="X6" s="32"/>
      <c r="Y6" s="32"/>
      <c r="Z6" s="32"/>
    </row>
    <row r="7" customFormat="false" ht="15" hidden="false" customHeight="true" outlineLevel="0" collapsed="false">
      <c r="A7" s="36"/>
      <c r="B7" s="25"/>
      <c r="C7" s="25"/>
      <c r="D7" s="25"/>
      <c r="E7" s="25"/>
      <c r="F7" s="37"/>
      <c r="G7" s="32"/>
      <c r="H7" s="32"/>
      <c r="I7" s="32"/>
      <c r="J7" s="32"/>
      <c r="K7" s="32"/>
      <c r="L7" s="32"/>
      <c r="M7" s="32"/>
      <c r="N7" s="32"/>
      <c r="O7" s="32"/>
      <c r="P7" s="32"/>
      <c r="Q7" s="32"/>
      <c r="R7" s="32"/>
      <c r="S7" s="32"/>
      <c r="T7" s="32"/>
      <c r="U7" s="32"/>
      <c r="V7" s="32"/>
      <c r="W7" s="32"/>
      <c r="X7" s="32"/>
      <c r="Y7" s="32"/>
      <c r="Z7" s="32"/>
    </row>
    <row r="8" customFormat="false" ht="15" hidden="false" customHeight="true" outlineLevel="0" collapsed="false">
      <c r="A8" s="49"/>
      <c r="B8" s="38" t="s">
        <v>59</v>
      </c>
      <c r="C8" s="38"/>
      <c r="D8" s="38"/>
      <c r="E8" s="38"/>
      <c r="F8" s="35"/>
      <c r="G8" s="32"/>
      <c r="H8" s="32"/>
      <c r="I8" s="32"/>
      <c r="J8" s="32"/>
      <c r="K8" s="32"/>
      <c r="L8" s="32"/>
      <c r="M8" s="32"/>
      <c r="N8" s="32"/>
      <c r="O8" s="32"/>
      <c r="P8" s="32"/>
      <c r="Q8" s="32"/>
      <c r="R8" s="32"/>
      <c r="S8" s="32"/>
      <c r="T8" s="32"/>
      <c r="U8" s="32"/>
      <c r="V8" s="32"/>
      <c r="W8" s="32"/>
      <c r="X8" s="32"/>
      <c r="Y8" s="32"/>
      <c r="Z8" s="32"/>
    </row>
    <row r="9" customFormat="false" ht="15" hidden="false" customHeight="true" outlineLevel="0" collapsed="false">
      <c r="A9" s="49"/>
      <c r="B9" s="39" t="s">
        <v>60</v>
      </c>
      <c r="C9" s="39" t="s">
        <v>61</v>
      </c>
      <c r="D9" s="39"/>
      <c r="E9" s="39"/>
      <c r="F9" s="35"/>
      <c r="G9" s="32"/>
      <c r="H9" s="32"/>
      <c r="I9" s="32"/>
      <c r="J9" s="32"/>
      <c r="K9" s="32"/>
      <c r="L9" s="32"/>
      <c r="M9" s="32"/>
      <c r="N9" s="32"/>
      <c r="O9" s="32"/>
      <c r="P9" s="32"/>
      <c r="Q9" s="32"/>
      <c r="R9" s="32"/>
      <c r="S9" s="32"/>
      <c r="T9" s="32"/>
      <c r="U9" s="32"/>
      <c r="V9" s="32"/>
      <c r="W9" s="32"/>
      <c r="X9" s="32"/>
      <c r="Y9" s="32"/>
      <c r="Z9" s="32"/>
    </row>
    <row r="10" customFormat="false" ht="15" hidden="false" customHeight="true" outlineLevel="0" collapsed="false">
      <c r="A10" s="49"/>
      <c r="B10" s="50" t="s">
        <v>62</v>
      </c>
      <c r="C10" s="50" t="s">
        <v>63</v>
      </c>
      <c r="D10" s="50"/>
      <c r="E10" s="50"/>
      <c r="F10" s="35"/>
      <c r="G10" s="32"/>
      <c r="H10" s="32"/>
      <c r="I10" s="32"/>
      <c r="J10" s="32"/>
      <c r="K10" s="32"/>
      <c r="L10" s="32"/>
      <c r="M10" s="32"/>
      <c r="N10" s="32"/>
      <c r="O10" s="32"/>
      <c r="P10" s="32"/>
      <c r="Q10" s="32"/>
      <c r="R10" s="32"/>
      <c r="S10" s="32"/>
      <c r="T10" s="32"/>
      <c r="U10" s="32"/>
      <c r="V10" s="32"/>
      <c r="W10" s="32"/>
      <c r="X10" s="32"/>
      <c r="Y10" s="32"/>
      <c r="Z10" s="32"/>
    </row>
    <row r="11" customFormat="false" ht="15" hidden="false" customHeight="true" outlineLevel="0" collapsed="false">
      <c r="A11" s="49"/>
      <c r="B11" s="50" t="s">
        <v>64</v>
      </c>
      <c r="C11" s="50" t="s">
        <v>65</v>
      </c>
      <c r="D11" s="50"/>
      <c r="E11" s="50"/>
      <c r="F11" s="35"/>
      <c r="G11" s="32"/>
      <c r="H11" s="32"/>
      <c r="I11" s="32"/>
      <c r="J11" s="32"/>
      <c r="K11" s="32"/>
      <c r="L11" s="32"/>
      <c r="M11" s="32"/>
      <c r="N11" s="32"/>
      <c r="O11" s="32"/>
      <c r="P11" s="32"/>
      <c r="Q11" s="32"/>
      <c r="R11" s="32"/>
      <c r="S11" s="32"/>
      <c r="T11" s="32"/>
      <c r="U11" s="32"/>
      <c r="V11" s="32"/>
      <c r="W11" s="32"/>
      <c r="X11" s="32"/>
      <c r="Y11" s="32"/>
      <c r="Z11" s="32"/>
    </row>
    <row r="12" customFormat="false" ht="15" hidden="false" customHeight="true" outlineLevel="0" collapsed="false">
      <c r="A12" s="49"/>
      <c r="B12" s="50" t="s">
        <v>66</v>
      </c>
      <c r="C12" s="50" t="s">
        <v>67</v>
      </c>
      <c r="D12" s="50"/>
      <c r="E12" s="50"/>
      <c r="F12" s="35"/>
      <c r="G12" s="32"/>
      <c r="H12" s="32"/>
      <c r="I12" s="32"/>
      <c r="J12" s="32"/>
      <c r="K12" s="32"/>
      <c r="L12" s="32"/>
      <c r="M12" s="32"/>
      <c r="N12" s="32"/>
      <c r="O12" s="32"/>
      <c r="P12" s="32"/>
      <c r="Q12" s="32"/>
      <c r="R12" s="32"/>
      <c r="S12" s="32"/>
      <c r="T12" s="32"/>
      <c r="U12" s="32"/>
      <c r="V12" s="32"/>
      <c r="W12" s="32"/>
      <c r="X12" s="32"/>
      <c r="Y12" s="32"/>
      <c r="Z12" s="32"/>
    </row>
    <row r="13" customFormat="false" ht="15" hidden="false" customHeight="true" outlineLevel="0" collapsed="false">
      <c r="A13" s="49"/>
      <c r="B13" s="50" t="s">
        <v>68</v>
      </c>
      <c r="C13" s="50" t="s">
        <v>68</v>
      </c>
      <c r="D13" s="50"/>
      <c r="E13" s="50"/>
      <c r="F13" s="35"/>
      <c r="G13" s="32"/>
      <c r="H13" s="32"/>
      <c r="I13" s="32"/>
      <c r="J13" s="32"/>
      <c r="K13" s="32"/>
      <c r="L13" s="32"/>
      <c r="M13" s="32"/>
      <c r="N13" s="32"/>
      <c r="O13" s="32"/>
      <c r="P13" s="32"/>
      <c r="Q13" s="32"/>
      <c r="R13" s="32"/>
      <c r="S13" s="32"/>
      <c r="T13" s="32"/>
      <c r="U13" s="32"/>
      <c r="V13" s="32"/>
      <c r="W13" s="32"/>
      <c r="X13" s="32"/>
      <c r="Y13" s="32"/>
      <c r="Z13" s="32"/>
    </row>
    <row r="14" customFormat="false" ht="15" hidden="false" customHeight="true" outlineLevel="0" collapsed="false">
      <c r="A14" s="49"/>
      <c r="B14" s="50" t="s">
        <v>69</v>
      </c>
      <c r="C14" s="50" t="s">
        <v>70</v>
      </c>
      <c r="D14" s="50"/>
      <c r="E14" s="50"/>
      <c r="F14" s="35"/>
      <c r="G14" s="32"/>
      <c r="H14" s="32"/>
      <c r="I14" s="32"/>
      <c r="J14" s="32"/>
      <c r="K14" s="32"/>
      <c r="L14" s="32"/>
      <c r="M14" s="32"/>
      <c r="N14" s="32"/>
      <c r="O14" s="32"/>
      <c r="P14" s="32"/>
      <c r="Q14" s="32"/>
      <c r="R14" s="32"/>
      <c r="S14" s="32"/>
      <c r="T14" s="32"/>
      <c r="U14" s="32"/>
      <c r="V14" s="32"/>
      <c r="W14" s="32"/>
      <c r="X14" s="32"/>
      <c r="Y14" s="32"/>
      <c r="Z14" s="32"/>
    </row>
    <row r="15" customFormat="false" ht="15" hidden="false" customHeight="true" outlineLevel="0" collapsed="false">
      <c r="A15" s="49"/>
      <c r="B15" s="50" t="s">
        <v>71</v>
      </c>
      <c r="C15" s="50" t="s">
        <v>72</v>
      </c>
      <c r="D15" s="50"/>
      <c r="E15" s="50"/>
      <c r="F15" s="35"/>
      <c r="G15" s="32"/>
      <c r="H15" s="32"/>
      <c r="I15" s="32"/>
      <c r="J15" s="32"/>
      <c r="K15" s="32"/>
      <c r="L15" s="32"/>
      <c r="M15" s="32"/>
      <c r="N15" s="32"/>
      <c r="O15" s="32"/>
      <c r="P15" s="32"/>
      <c r="Q15" s="32"/>
      <c r="R15" s="32"/>
      <c r="S15" s="32"/>
      <c r="T15" s="32"/>
      <c r="U15" s="32"/>
      <c r="V15" s="32"/>
      <c r="W15" s="32"/>
      <c r="X15" s="32"/>
      <c r="Y15" s="32"/>
      <c r="Z15" s="32"/>
    </row>
    <row r="16" customFormat="false" ht="15" hidden="false" customHeight="true" outlineLevel="0" collapsed="false">
      <c r="A16" s="49"/>
      <c r="B16" s="50" t="s">
        <v>73</v>
      </c>
      <c r="C16" s="51" t="s">
        <v>74</v>
      </c>
      <c r="D16" s="51"/>
      <c r="E16" s="51"/>
      <c r="F16" s="35"/>
      <c r="G16" s="32"/>
      <c r="H16" s="32"/>
      <c r="I16" s="32"/>
      <c r="J16" s="32"/>
      <c r="K16" s="32"/>
      <c r="L16" s="32"/>
      <c r="M16" s="32"/>
      <c r="N16" s="32"/>
      <c r="O16" s="32"/>
      <c r="P16" s="32"/>
      <c r="Q16" s="32"/>
      <c r="R16" s="32"/>
      <c r="S16" s="32"/>
      <c r="T16" s="32"/>
      <c r="U16" s="32"/>
      <c r="V16" s="32"/>
      <c r="W16" s="32"/>
      <c r="X16" s="32"/>
      <c r="Y16" s="32"/>
      <c r="Z16" s="32"/>
    </row>
    <row r="17" customFormat="false" ht="15" hidden="false" customHeight="true" outlineLevel="0" collapsed="false">
      <c r="A17" s="49"/>
      <c r="B17" s="50" t="s">
        <v>75</v>
      </c>
      <c r="C17" s="50" t="s">
        <v>76</v>
      </c>
      <c r="D17" s="50"/>
      <c r="E17" s="50"/>
      <c r="F17" s="35"/>
      <c r="G17" s="32"/>
      <c r="H17" s="32"/>
      <c r="I17" s="32"/>
      <c r="J17" s="32"/>
      <c r="K17" s="32"/>
      <c r="L17" s="32"/>
      <c r="M17" s="32"/>
      <c r="N17" s="32"/>
      <c r="O17" s="32"/>
      <c r="P17" s="32"/>
      <c r="Q17" s="32"/>
      <c r="R17" s="32"/>
      <c r="S17" s="32"/>
      <c r="T17" s="32"/>
      <c r="U17" s="32"/>
      <c r="V17" s="32"/>
      <c r="W17" s="32"/>
      <c r="X17" s="32"/>
      <c r="Y17" s="32"/>
      <c r="Z17" s="32"/>
    </row>
    <row r="18" customFormat="false" ht="15" hidden="false" customHeight="true" outlineLevel="0" collapsed="false">
      <c r="A18" s="49"/>
      <c r="B18" s="50" t="s">
        <v>77</v>
      </c>
      <c r="C18" s="50" t="s">
        <v>78</v>
      </c>
      <c r="D18" s="50"/>
      <c r="E18" s="50"/>
      <c r="F18" s="35"/>
      <c r="G18" s="32"/>
      <c r="H18" s="32"/>
      <c r="I18" s="32"/>
      <c r="J18" s="32"/>
      <c r="K18" s="32"/>
      <c r="L18" s="32"/>
      <c r="M18" s="32"/>
      <c r="N18" s="32"/>
      <c r="O18" s="32"/>
      <c r="P18" s="32"/>
      <c r="Q18" s="32"/>
      <c r="R18" s="32"/>
      <c r="S18" s="32"/>
      <c r="T18" s="32"/>
      <c r="U18" s="32"/>
      <c r="V18" s="32"/>
      <c r="W18" s="32"/>
      <c r="X18" s="32"/>
      <c r="Y18" s="32"/>
      <c r="Z18" s="32"/>
    </row>
    <row r="19" customFormat="false" ht="15" hidden="false" customHeight="true" outlineLevel="0" collapsed="false">
      <c r="A19" s="49"/>
      <c r="B19" s="50" t="s">
        <v>79</v>
      </c>
      <c r="C19" s="50" t="s">
        <v>80</v>
      </c>
      <c r="D19" s="50"/>
      <c r="E19" s="50"/>
      <c r="F19" s="35"/>
      <c r="G19" s="32"/>
      <c r="H19" s="32"/>
      <c r="I19" s="32"/>
      <c r="J19" s="32"/>
      <c r="K19" s="32"/>
      <c r="L19" s="32"/>
      <c r="M19" s="32"/>
      <c r="N19" s="32"/>
      <c r="O19" s="32"/>
      <c r="P19" s="32"/>
      <c r="Q19" s="32"/>
      <c r="R19" s="32"/>
      <c r="S19" s="32"/>
      <c r="T19" s="32"/>
      <c r="U19" s="32"/>
      <c r="V19" s="32"/>
      <c r="W19" s="32"/>
      <c r="X19" s="32"/>
      <c r="Y19" s="32"/>
      <c r="Z19" s="32"/>
    </row>
    <row r="20" customFormat="false" ht="15" hidden="false" customHeight="true" outlineLevel="0" collapsed="false">
      <c r="A20" s="49"/>
      <c r="B20" s="50" t="s">
        <v>81</v>
      </c>
      <c r="C20" s="50" t="s">
        <v>82</v>
      </c>
      <c r="D20" s="50"/>
      <c r="E20" s="50"/>
      <c r="F20" s="35"/>
      <c r="G20" s="32"/>
      <c r="H20" s="32"/>
      <c r="I20" s="32"/>
      <c r="J20" s="32"/>
      <c r="K20" s="32"/>
      <c r="L20" s="32"/>
      <c r="M20" s="32"/>
      <c r="N20" s="32"/>
      <c r="O20" s="32"/>
      <c r="P20" s="32"/>
      <c r="Q20" s="32"/>
      <c r="R20" s="32"/>
      <c r="S20" s="32"/>
      <c r="T20" s="32"/>
      <c r="U20" s="32"/>
      <c r="V20" s="32"/>
      <c r="W20" s="32"/>
      <c r="X20" s="32"/>
      <c r="Y20" s="32"/>
      <c r="Z20" s="32"/>
    </row>
    <row r="21" customFormat="false" ht="15" hidden="false" customHeight="true" outlineLevel="0" collapsed="false">
      <c r="A21" s="49"/>
      <c r="B21" s="50" t="s">
        <v>83</v>
      </c>
      <c r="C21" s="50" t="s">
        <v>84</v>
      </c>
      <c r="D21" s="50"/>
      <c r="E21" s="50"/>
      <c r="F21" s="35"/>
      <c r="G21" s="32"/>
      <c r="H21" s="32"/>
      <c r="I21" s="32"/>
      <c r="J21" s="32"/>
      <c r="K21" s="32"/>
      <c r="L21" s="32"/>
      <c r="M21" s="32"/>
      <c r="N21" s="32"/>
      <c r="O21" s="32"/>
      <c r="P21" s="32"/>
      <c r="Q21" s="32"/>
      <c r="R21" s="32"/>
      <c r="S21" s="32"/>
      <c r="T21" s="32"/>
      <c r="U21" s="32"/>
      <c r="V21" s="32"/>
      <c r="W21" s="32"/>
      <c r="X21" s="32"/>
      <c r="Y21" s="32"/>
      <c r="Z21" s="32"/>
    </row>
    <row r="22" customFormat="false" ht="30.75" hidden="false" customHeight="true" outlineLevel="0" collapsed="false">
      <c r="A22" s="49"/>
      <c r="B22" s="50" t="s">
        <v>85</v>
      </c>
      <c r="C22" s="50" t="s">
        <v>86</v>
      </c>
      <c r="D22" s="50"/>
      <c r="E22" s="50"/>
      <c r="F22" s="35"/>
      <c r="G22" s="32"/>
      <c r="H22" s="32"/>
      <c r="I22" s="32"/>
      <c r="J22" s="32"/>
      <c r="K22" s="32"/>
      <c r="L22" s="32"/>
      <c r="M22" s="32"/>
      <c r="N22" s="32"/>
      <c r="O22" s="32"/>
      <c r="P22" s="32"/>
      <c r="Q22" s="32"/>
      <c r="R22" s="32"/>
      <c r="S22" s="32"/>
      <c r="T22" s="32"/>
      <c r="U22" s="32"/>
      <c r="V22" s="32"/>
      <c r="W22" s="32"/>
      <c r="X22" s="32"/>
      <c r="Y22" s="32"/>
      <c r="Z22" s="32"/>
    </row>
    <row r="23" customFormat="false" ht="30.75" hidden="false" customHeight="true" outlineLevel="0" collapsed="false">
      <c r="A23" s="49"/>
      <c r="B23" s="50" t="s">
        <v>87</v>
      </c>
      <c r="C23" s="50" t="s">
        <v>88</v>
      </c>
      <c r="D23" s="50"/>
      <c r="E23" s="50"/>
      <c r="F23" s="35"/>
      <c r="G23" s="32"/>
      <c r="H23" s="32"/>
      <c r="I23" s="32"/>
      <c r="J23" s="32"/>
      <c r="K23" s="32"/>
      <c r="L23" s="32"/>
      <c r="M23" s="32"/>
      <c r="N23" s="32"/>
      <c r="O23" s="32"/>
      <c r="P23" s="32"/>
      <c r="Q23" s="32"/>
      <c r="R23" s="32"/>
      <c r="S23" s="32"/>
      <c r="T23" s="32"/>
      <c r="U23" s="32"/>
      <c r="V23" s="32"/>
      <c r="W23" s="32"/>
      <c r="X23" s="32"/>
      <c r="Y23" s="32"/>
      <c r="Z23" s="32"/>
    </row>
    <row r="24" customFormat="false" ht="15" hidden="false" customHeight="true" outlineLevel="0" collapsed="false">
      <c r="A24" s="49"/>
      <c r="B24" s="50" t="s">
        <v>89</v>
      </c>
      <c r="C24" s="50" t="s">
        <v>90</v>
      </c>
      <c r="D24" s="50"/>
      <c r="E24" s="50"/>
      <c r="F24" s="35"/>
      <c r="G24" s="32"/>
      <c r="H24" s="32"/>
      <c r="I24" s="32"/>
      <c r="J24" s="32"/>
      <c r="K24" s="32"/>
      <c r="L24" s="32"/>
      <c r="M24" s="32"/>
      <c r="N24" s="32"/>
      <c r="O24" s="32"/>
      <c r="P24" s="32"/>
      <c r="Q24" s="32"/>
      <c r="R24" s="32"/>
      <c r="S24" s="32"/>
      <c r="T24" s="32"/>
      <c r="U24" s="32"/>
      <c r="V24" s="32"/>
      <c r="W24" s="32"/>
      <c r="X24" s="32"/>
      <c r="Y24" s="32"/>
      <c r="Z24" s="32"/>
    </row>
    <row r="25" customFormat="false" ht="15" hidden="false" customHeight="true" outlineLevel="0" collapsed="false">
      <c r="A25" s="49"/>
      <c r="B25" s="50" t="s">
        <v>91</v>
      </c>
      <c r="C25" s="50" t="s">
        <v>92</v>
      </c>
      <c r="D25" s="50"/>
      <c r="E25" s="50"/>
      <c r="F25" s="35"/>
      <c r="G25" s="32"/>
      <c r="H25" s="32"/>
      <c r="I25" s="32"/>
      <c r="J25" s="32"/>
      <c r="K25" s="32"/>
      <c r="L25" s="32"/>
      <c r="M25" s="32"/>
      <c r="N25" s="32"/>
      <c r="O25" s="32"/>
      <c r="P25" s="32"/>
      <c r="Q25" s="32"/>
      <c r="R25" s="32"/>
      <c r="S25" s="32"/>
      <c r="T25" s="32"/>
      <c r="U25" s="32"/>
      <c r="V25" s="32"/>
      <c r="W25" s="32"/>
      <c r="X25" s="32"/>
      <c r="Y25" s="32"/>
      <c r="Z25" s="32"/>
    </row>
    <row r="26" customFormat="false" ht="15" hidden="false" customHeight="true" outlineLevel="0" collapsed="false">
      <c r="A26" s="49"/>
      <c r="B26" s="50" t="s">
        <v>93</v>
      </c>
      <c r="C26" s="50" t="s">
        <v>94</v>
      </c>
      <c r="D26" s="50"/>
      <c r="E26" s="50"/>
      <c r="F26" s="35"/>
      <c r="G26" s="32"/>
      <c r="H26" s="32"/>
      <c r="I26" s="32"/>
      <c r="J26" s="32"/>
      <c r="K26" s="32"/>
      <c r="L26" s="32"/>
      <c r="M26" s="32"/>
      <c r="N26" s="32"/>
      <c r="O26" s="32"/>
      <c r="P26" s="32"/>
      <c r="Q26" s="32"/>
      <c r="R26" s="32"/>
      <c r="S26" s="32"/>
      <c r="T26" s="32"/>
      <c r="U26" s="32"/>
      <c r="V26" s="32"/>
      <c r="W26" s="32"/>
      <c r="X26" s="32"/>
      <c r="Y26" s="32"/>
      <c r="Z26" s="32"/>
    </row>
    <row r="27" customFormat="false" ht="15" hidden="false" customHeight="true" outlineLevel="0" collapsed="false">
      <c r="A27" s="49"/>
      <c r="B27" s="50" t="s">
        <v>95</v>
      </c>
      <c r="C27" s="50" t="s">
        <v>96</v>
      </c>
      <c r="D27" s="50"/>
      <c r="E27" s="50"/>
      <c r="F27" s="35"/>
      <c r="G27" s="32"/>
      <c r="H27" s="32"/>
      <c r="I27" s="32"/>
      <c r="J27" s="32"/>
      <c r="K27" s="32"/>
      <c r="L27" s="32"/>
      <c r="M27" s="32"/>
      <c r="N27" s="32"/>
      <c r="O27" s="32"/>
      <c r="P27" s="32"/>
      <c r="Q27" s="32"/>
      <c r="R27" s="32"/>
      <c r="S27" s="32"/>
      <c r="T27" s="32"/>
      <c r="U27" s="32"/>
      <c r="V27" s="32"/>
      <c r="W27" s="32"/>
      <c r="X27" s="32"/>
      <c r="Y27" s="32"/>
      <c r="Z27" s="32"/>
    </row>
    <row r="28" customFormat="false" ht="15" hidden="false" customHeight="true" outlineLevel="0" collapsed="false">
      <c r="A28" s="49"/>
      <c r="B28" s="50" t="s">
        <v>97</v>
      </c>
      <c r="C28" s="50" t="s">
        <v>97</v>
      </c>
      <c r="D28" s="50"/>
      <c r="E28" s="50"/>
      <c r="F28" s="35"/>
      <c r="G28" s="32"/>
      <c r="H28" s="32"/>
      <c r="I28" s="32"/>
      <c r="J28" s="32"/>
      <c r="K28" s="32"/>
      <c r="L28" s="32"/>
      <c r="M28" s="32"/>
      <c r="N28" s="32"/>
      <c r="O28" s="32"/>
      <c r="P28" s="32"/>
      <c r="Q28" s="32"/>
      <c r="R28" s="32"/>
      <c r="S28" s="32"/>
      <c r="T28" s="32"/>
      <c r="U28" s="32"/>
      <c r="V28" s="32"/>
      <c r="W28" s="32"/>
      <c r="X28" s="32"/>
      <c r="Y28" s="32"/>
      <c r="Z28" s="32"/>
    </row>
    <row r="29" customFormat="false" ht="15" hidden="false" customHeight="true" outlineLevel="0" collapsed="false">
      <c r="A29" s="49"/>
      <c r="B29" s="50" t="s">
        <v>98</v>
      </c>
      <c r="C29" s="50" t="s">
        <v>99</v>
      </c>
      <c r="D29" s="50"/>
      <c r="E29" s="50"/>
      <c r="F29" s="35"/>
      <c r="G29" s="32"/>
      <c r="H29" s="32"/>
      <c r="I29" s="32"/>
      <c r="J29" s="32"/>
      <c r="K29" s="32"/>
      <c r="L29" s="32"/>
      <c r="M29" s="32"/>
      <c r="N29" s="32"/>
      <c r="O29" s="32"/>
      <c r="P29" s="32"/>
      <c r="Q29" s="32"/>
      <c r="R29" s="32"/>
      <c r="S29" s="32"/>
      <c r="T29" s="32"/>
      <c r="U29" s="32"/>
      <c r="V29" s="32"/>
      <c r="W29" s="32"/>
      <c r="X29" s="32"/>
      <c r="Y29" s="32"/>
      <c r="Z29" s="32"/>
    </row>
    <row r="30" customFormat="false" ht="15" hidden="false" customHeight="true" outlineLevel="0" collapsed="false">
      <c r="A30" s="49"/>
      <c r="B30" s="50" t="s">
        <v>100</v>
      </c>
      <c r="C30" s="50" t="s">
        <v>101</v>
      </c>
      <c r="D30" s="50"/>
      <c r="E30" s="50"/>
      <c r="F30" s="35"/>
      <c r="G30" s="32"/>
      <c r="H30" s="32"/>
      <c r="I30" s="32"/>
      <c r="J30" s="32"/>
      <c r="K30" s="32"/>
      <c r="L30" s="32"/>
      <c r="M30" s="32"/>
      <c r="N30" s="32"/>
      <c r="O30" s="32"/>
      <c r="P30" s="32"/>
      <c r="Q30" s="32"/>
      <c r="R30" s="32"/>
      <c r="S30" s="32"/>
      <c r="T30" s="32"/>
      <c r="U30" s="32"/>
      <c r="V30" s="32"/>
      <c r="W30" s="32"/>
      <c r="X30" s="32"/>
      <c r="Y30" s="32"/>
      <c r="Z30" s="32"/>
    </row>
    <row r="31" customFormat="false" ht="15" hidden="false" customHeight="true" outlineLevel="0" collapsed="false">
      <c r="A31" s="49"/>
      <c r="B31" s="50" t="s">
        <v>102</v>
      </c>
      <c r="C31" s="50" t="s">
        <v>103</v>
      </c>
      <c r="D31" s="50"/>
      <c r="E31" s="50"/>
      <c r="F31" s="35"/>
      <c r="G31" s="32"/>
      <c r="H31" s="32"/>
      <c r="I31" s="32"/>
      <c r="J31" s="32"/>
      <c r="K31" s="32"/>
      <c r="L31" s="32"/>
      <c r="M31" s="32"/>
      <c r="N31" s="32"/>
      <c r="O31" s="32"/>
      <c r="P31" s="32"/>
      <c r="Q31" s="32"/>
      <c r="R31" s="32"/>
      <c r="S31" s="32"/>
      <c r="T31" s="32"/>
      <c r="U31" s="32"/>
      <c r="V31" s="32"/>
      <c r="W31" s="32"/>
      <c r="X31" s="32"/>
      <c r="Y31" s="32"/>
      <c r="Z31" s="32"/>
    </row>
    <row r="32" customFormat="false" ht="15" hidden="false" customHeight="true" outlineLevel="0" collapsed="false">
      <c r="A32" s="49"/>
      <c r="B32" s="50" t="s">
        <v>104</v>
      </c>
      <c r="C32" s="50" t="s">
        <v>105</v>
      </c>
      <c r="D32" s="50"/>
      <c r="E32" s="50"/>
      <c r="F32" s="35"/>
      <c r="G32" s="32"/>
      <c r="H32" s="32"/>
      <c r="I32" s="32"/>
      <c r="J32" s="32"/>
      <c r="K32" s="32"/>
      <c r="L32" s="32"/>
      <c r="M32" s="32"/>
      <c r="N32" s="32"/>
      <c r="O32" s="32"/>
      <c r="P32" s="32"/>
      <c r="Q32" s="32"/>
      <c r="R32" s="32"/>
      <c r="S32" s="32"/>
      <c r="T32" s="32"/>
      <c r="U32" s="32"/>
      <c r="V32" s="32"/>
      <c r="W32" s="32"/>
      <c r="X32" s="32"/>
      <c r="Y32" s="32"/>
      <c r="Z32" s="32"/>
    </row>
    <row r="33" customFormat="false" ht="15" hidden="false" customHeight="true" outlineLevel="0" collapsed="false">
      <c r="A33" s="49"/>
      <c r="B33" s="50" t="s">
        <v>106</v>
      </c>
      <c r="C33" s="50" t="s">
        <v>107</v>
      </c>
      <c r="D33" s="50"/>
      <c r="E33" s="50"/>
      <c r="F33" s="35"/>
      <c r="G33" s="32"/>
      <c r="H33" s="32"/>
      <c r="I33" s="32"/>
      <c r="J33" s="32"/>
      <c r="K33" s="32"/>
      <c r="L33" s="32"/>
      <c r="M33" s="32"/>
      <c r="N33" s="32"/>
      <c r="O33" s="32"/>
      <c r="P33" s="32"/>
      <c r="Q33" s="32"/>
      <c r="R33" s="32"/>
      <c r="S33" s="32"/>
      <c r="T33" s="32"/>
      <c r="U33" s="32"/>
      <c r="V33" s="32"/>
      <c r="W33" s="32"/>
      <c r="X33" s="32"/>
      <c r="Y33" s="32"/>
      <c r="Z33" s="32"/>
    </row>
    <row r="34" customFormat="false" ht="15" hidden="false" customHeight="true" outlineLevel="0" collapsed="false">
      <c r="A34" s="49"/>
      <c r="B34" s="50" t="s">
        <v>108</v>
      </c>
      <c r="C34" s="50" t="s">
        <v>109</v>
      </c>
      <c r="D34" s="50"/>
      <c r="E34" s="50"/>
      <c r="F34" s="35"/>
      <c r="G34" s="32"/>
      <c r="H34" s="32"/>
      <c r="I34" s="32"/>
      <c r="J34" s="32"/>
      <c r="K34" s="32"/>
      <c r="L34" s="32"/>
      <c r="M34" s="32"/>
      <c r="N34" s="32"/>
      <c r="O34" s="32"/>
      <c r="P34" s="32"/>
      <c r="Q34" s="32"/>
      <c r="R34" s="32"/>
      <c r="S34" s="32"/>
      <c r="T34" s="32"/>
      <c r="U34" s="32"/>
      <c r="V34" s="32"/>
      <c r="W34" s="32"/>
      <c r="X34" s="32"/>
      <c r="Y34" s="32"/>
      <c r="Z34" s="32"/>
    </row>
    <row r="35" customFormat="false" ht="15" hidden="false" customHeight="true" outlineLevel="0" collapsed="false">
      <c r="A35" s="46"/>
      <c r="B35" s="47"/>
      <c r="C35" s="47"/>
      <c r="D35" s="47"/>
      <c r="E35" s="47"/>
      <c r="F35" s="48"/>
      <c r="G35" s="32"/>
      <c r="H35" s="32"/>
      <c r="I35" s="32"/>
      <c r="J35" s="32"/>
      <c r="K35" s="32"/>
      <c r="L35" s="32"/>
      <c r="M35" s="32"/>
      <c r="N35" s="32"/>
      <c r="O35" s="32"/>
      <c r="P35" s="32"/>
      <c r="Q35" s="32"/>
      <c r="R35" s="32"/>
      <c r="S35" s="32"/>
      <c r="T35" s="32"/>
      <c r="U35" s="32"/>
      <c r="V35" s="32"/>
      <c r="W35" s="32"/>
      <c r="X35" s="32"/>
      <c r="Y35" s="32"/>
      <c r="Z35" s="32"/>
    </row>
    <row r="36" customFormat="false" ht="15" hidden="false" customHeight="true" outlineLevel="0" collapsed="false">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ustomFormat="false" ht="15" hidden="false" customHeight="tru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ustomFormat="false" ht="15" hidden="false" customHeight="tru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ustomFormat="false" ht="15" hidden="false" customHeight="tru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ustomFormat="false" ht="15" hidden="false" customHeight="tru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ustomFormat="false" ht="15" hidden="false" customHeight="true" outlineLevel="0" collapsed="false">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ustomFormat="false" ht="15" hidden="false" customHeight="true" outlineLevel="0" collapsed="false">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ustomFormat="false" ht="15" hidden="false" customHeight="true" outlineLevel="0" collapsed="false">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ustomFormat="false" ht="15" hidden="false" customHeight="true" outlineLevel="0" collapsed="false">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ustomFormat="false" ht="15" hidden="false" customHeight="true" outlineLevel="0" collapsed="false">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ustomFormat="false" ht="15" hidden="false" customHeight="true" outlineLevel="0" collapsed="false">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ustomFormat="false" ht="15" hidden="false" customHeight="true" outlineLevel="0" collapsed="false">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ustomFormat="false" ht="15" hidden="false" customHeight="true" outlineLevel="0" collapsed="false">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ustomFormat="false" ht="15" hidden="false" customHeight="true" outlineLevel="0" collapsed="false">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ustomFormat="false" ht="15" hidden="false" customHeight="true" outlineLevel="0" collapsed="false">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ustomFormat="false" ht="15" hidden="false" customHeight="true" outlineLevel="0" collapsed="false">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ustomFormat="false" ht="15" hidden="false" customHeight="true" outlineLevel="0" collapsed="false">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ustomFormat="false" ht="15" hidden="false" customHeight="true" outlineLevel="0" collapsed="false">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ustomFormat="false" ht="15" hidden="false" customHeight="true" outlineLevel="0" collapsed="false">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ustomFormat="false" ht="15" hidden="false" customHeight="true" outlineLevel="0" collapsed="false">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ustomFormat="false" ht="15" hidden="false" customHeight="true" outlineLevel="0" collapsed="false">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ustomFormat="false" ht="15" hidden="false" customHeight="true" outlineLevel="0" collapsed="false">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ustomFormat="false" ht="15" hidden="false" customHeight="true" outlineLevel="0" collapsed="false">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ustomFormat="false" ht="15" hidden="false" customHeight="true" outlineLevel="0" collapsed="false">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ustomFormat="false" ht="15" hidden="false" customHeight="true" outlineLevel="0" collapsed="false">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ustomFormat="false" ht="15" hidden="false" customHeight="true" outlineLevel="0" collapsed="false">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ustomFormat="false" ht="15" hidden="false" customHeight="true" outlineLevel="0" collapsed="false">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ustomFormat="false" ht="15" hidden="false" customHeight="true" outlineLevel="0" collapsed="false">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ustomFormat="false" ht="15" hidden="false" customHeight="true" outlineLevel="0" collapsed="false">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ustomFormat="false" ht="15" hidden="false" customHeight="true" outlineLevel="0" collapsed="false">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ustomFormat="false" ht="15" hidden="false" customHeight="true" outlineLevel="0" collapsed="false">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ustomFormat="false" ht="15" hidden="false" customHeight="true" outlineLevel="0" collapsed="false">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ustomFormat="false" ht="15" hidden="false" customHeight="true" outlineLevel="0" collapsed="false">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ustomFormat="false" ht="15" hidden="false" customHeight="true" outlineLevel="0" collapsed="false">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ustomFormat="false" ht="15" hidden="false" customHeight="true" outlineLevel="0" collapsed="false">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ustomFormat="false" ht="15" hidden="false" customHeight="true" outlineLevel="0" collapsed="false">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ustomFormat="false" ht="15" hidden="false" customHeight="true" outlineLevel="0" collapsed="false">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ustomFormat="false" ht="15" hidden="false" customHeight="true" outlineLevel="0" collapsed="false">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ustomFormat="false" ht="15" hidden="false" customHeight="true" outlineLevel="0" collapsed="false">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ustomFormat="false" ht="15" hidden="false" customHeight="true" outlineLevel="0" collapsed="false">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ustomFormat="false" ht="15" hidden="false" customHeight="true" outlineLevel="0" collapsed="false">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ustomFormat="false" ht="15" hidden="false" customHeight="true" outlineLevel="0" collapsed="false">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ustomFormat="false" ht="15" hidden="false" customHeight="true" outlineLevel="0" collapsed="false">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ustomFormat="false" ht="15" hidden="false" customHeight="true" outlineLevel="0" collapsed="false">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ustomFormat="false" ht="15" hidden="false" customHeight="true" outlineLevel="0" collapsed="false">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ustomFormat="false" ht="15" hidden="false" customHeight="true" outlineLevel="0" collapsed="false">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ustomFormat="false" ht="15" hidden="false" customHeight="true" outlineLevel="0" collapsed="false">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ustomFormat="false" ht="15" hidden="false" customHeight="true" outlineLevel="0" collapsed="false">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ustomFormat="false" ht="15" hidden="false" customHeight="true" outlineLevel="0" collapsed="false">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ustomFormat="false" ht="15" hidden="false" customHeight="true" outlineLevel="0" collapsed="false">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ustomFormat="false" ht="15" hidden="false" customHeight="true" outlineLevel="0" collapsed="false">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ustomFormat="false" ht="15" hidden="false" customHeight="true" outlineLevel="0" collapsed="false">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ustomFormat="false" ht="15" hidden="false" customHeight="true" outlineLevel="0" collapsed="false">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ustomFormat="false" ht="15" hidden="false" customHeight="true" outlineLevel="0" collapsed="false">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ustomFormat="false" ht="15" hidden="false" customHeight="true" outlineLevel="0" collapsed="false">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ustomFormat="false" ht="15" hidden="false" customHeight="true" outlineLevel="0" collapsed="false">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ustomFormat="false" ht="15" hidden="false" customHeight="true" outlineLevel="0" collapsed="false">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ustomFormat="false" ht="15" hidden="false" customHeight="true" outlineLevel="0" collapsed="false">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ustomFormat="false" ht="15" hidden="false" customHeight="true" outlineLevel="0" collapsed="false">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ustomFormat="false" ht="15" hidden="false" customHeight="true" outlineLevel="0" collapsed="false">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ustomFormat="false" ht="15" hidden="false" customHeight="true" outlineLevel="0" collapsed="false">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ustomFormat="false" ht="15" hidden="false" customHeight="true" outlineLevel="0" collapsed="false">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ustomFormat="false" ht="15" hidden="false" customHeight="true" outlineLevel="0" collapsed="false">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ustomFormat="false" ht="15" hidden="false" customHeight="true" outlineLevel="0" collapsed="false">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ustomFormat="false" ht="15" hidden="false" customHeight="true" outlineLevel="0" collapsed="false">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ustomFormat="false" ht="15" hidden="false" customHeight="true" outlineLevel="0" collapsed="false">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ustomFormat="false" ht="15" hidden="false" customHeight="true" outlineLevel="0" collapsed="false">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ustomFormat="false" ht="15" hidden="false" customHeight="true" outlineLevel="0" collapsed="false">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ustomFormat="false" ht="15" hidden="false" customHeight="true" outlineLevel="0" collapsed="false">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ustomFormat="false" ht="15" hidden="false" customHeight="true" outlineLevel="0" collapsed="false">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ustomFormat="false" ht="15" hidden="false" customHeight="true" outlineLevel="0" collapsed="false">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ustomFormat="false" ht="15" hidden="false" customHeight="true" outlineLevel="0" collapsed="false">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ustomFormat="false" ht="15" hidden="false" customHeight="true" outlineLevel="0" collapsed="false">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ustomFormat="false" ht="15" hidden="false" customHeight="true" outlineLevel="0" collapsed="false">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ustomFormat="false" ht="15" hidden="false" customHeight="true" outlineLevel="0" collapsed="false">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ustomFormat="false" ht="15" hidden="false" customHeight="true" outlineLevel="0" collapsed="false">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ustomFormat="false" ht="15" hidden="false" customHeight="true" outlineLevel="0" collapsed="false">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ustomFormat="false" ht="15" hidden="false" customHeight="true" outlineLevel="0" collapsed="false">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ustomFormat="false" ht="15" hidden="false" customHeight="true" outlineLevel="0" collapsed="false">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ustomFormat="false" ht="15" hidden="false" customHeight="true" outlineLevel="0" collapsed="false">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ustomFormat="false" ht="15" hidden="false" customHeight="true" outlineLevel="0" collapsed="false">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ustomFormat="false" ht="15" hidden="false" customHeight="true" outlineLevel="0" collapsed="false">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ustomFormat="false" ht="15" hidden="false" customHeight="true" outlineLevel="0" collapsed="false">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ustomFormat="false" ht="15" hidden="false" customHeight="true" outlineLevel="0" collapsed="false">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ustomFormat="false" ht="15" hidden="false" customHeight="true" outlineLevel="0" collapsed="false">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ustomFormat="false" ht="15" hidden="false" customHeight="true" outlineLevel="0" collapsed="false">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ustomFormat="false" ht="15" hidden="false" customHeight="true" outlineLevel="0" collapsed="false">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ustomFormat="false" ht="15" hidden="false" customHeight="true" outlineLevel="0" collapsed="false">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ustomFormat="false" ht="15" hidden="false" customHeight="true" outlineLevel="0" collapsed="false">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ustomFormat="false" ht="15" hidden="false" customHeight="true" outlineLevel="0" collapsed="false">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ustomFormat="false" ht="15" hidden="false" customHeight="true" outlineLevel="0" collapsed="false">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ustomFormat="false" ht="15" hidden="false" customHeight="true" outlineLevel="0" collapsed="false">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ustomFormat="false" ht="15" hidden="false" customHeight="true" outlineLevel="0" collapsed="false">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ustomFormat="false" ht="15" hidden="false" customHeight="true" outlineLevel="0" collapsed="false">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ustomFormat="false" ht="15" hidden="false" customHeight="true" outlineLevel="0" collapsed="false">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ustomFormat="false" ht="15" hidden="false" customHeight="true" outlineLevel="0" collapsed="false">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ustomFormat="false" ht="15" hidden="false" customHeight="true" outlineLevel="0" collapsed="false">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ustomFormat="false" ht="15" hidden="false" customHeight="true" outlineLevel="0" collapsed="false">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ustomFormat="false" ht="15" hidden="false" customHeight="true" outlineLevel="0" collapsed="false">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ustomFormat="false" ht="15" hidden="false" customHeight="true" outlineLevel="0" collapsed="false">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ustomFormat="false" ht="15" hidden="false" customHeight="true" outlineLevel="0" collapsed="false">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ustomFormat="false" ht="15" hidden="false" customHeight="true" outlineLevel="0" collapsed="false">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ustomFormat="false" ht="15" hidden="false" customHeight="true" outlineLevel="0" collapsed="false">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ustomFormat="false" ht="15" hidden="false" customHeight="true" outlineLevel="0" collapsed="false">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ustomFormat="false" ht="15" hidden="false" customHeight="true" outlineLevel="0" collapsed="false">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ustomFormat="false" ht="15" hidden="false" customHeight="true" outlineLevel="0" collapsed="false">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ustomFormat="false" ht="15" hidden="false" customHeight="true" outlineLevel="0" collapsed="false">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ustomFormat="false" ht="15" hidden="false" customHeight="true" outlineLevel="0" collapsed="false">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ustomFormat="false" ht="15" hidden="false" customHeight="true" outlineLevel="0" collapsed="false">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ustomFormat="false" ht="15" hidden="false" customHeight="true" outlineLevel="0" collapsed="false">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ustomFormat="false" ht="15" hidden="false" customHeight="true" outlineLevel="0" collapsed="false">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ustomFormat="false" ht="15" hidden="false" customHeight="true" outlineLevel="0" collapsed="false">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ustomFormat="false" ht="15" hidden="false" customHeight="true" outlineLevel="0" collapsed="false">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ustomFormat="false" ht="15" hidden="false" customHeight="true" outlineLevel="0" collapsed="false">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ustomFormat="false" ht="15" hidden="false" customHeight="true" outlineLevel="0" collapsed="false">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ustomFormat="false" ht="15" hidden="false" customHeight="true" outlineLevel="0" collapsed="false">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ustomFormat="false" ht="15" hidden="false" customHeight="true" outlineLevel="0" collapsed="false">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ustomFormat="false" ht="15" hidden="false" customHeight="true" outlineLevel="0" collapsed="false">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ustomFormat="false" ht="15" hidden="false" customHeight="true" outlineLevel="0" collapsed="false">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ustomFormat="false" ht="15" hidden="false" customHeight="true" outlineLevel="0" collapsed="false">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ustomFormat="false" ht="15" hidden="false" customHeight="true" outlineLevel="0" collapsed="false">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ustomFormat="false" ht="15" hidden="false" customHeight="true" outlineLevel="0" collapsed="false">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ustomFormat="false" ht="15" hidden="false" customHeight="true" outlineLevel="0" collapsed="false">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ustomFormat="false" ht="15" hidden="false" customHeight="true" outlineLevel="0" collapsed="false">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ustomFormat="false" ht="15" hidden="false" customHeight="true" outlineLevel="0" collapsed="false">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ustomFormat="false" ht="15" hidden="false" customHeight="true" outlineLevel="0" collapsed="false">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ustomFormat="false" ht="15" hidden="false" customHeight="true" outlineLevel="0" collapsed="false">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ustomFormat="false" ht="15" hidden="false" customHeight="true" outlineLevel="0" collapsed="false">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ustomFormat="false" ht="15" hidden="false" customHeight="true" outlineLevel="0" collapsed="false">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ustomFormat="false" ht="15" hidden="false" customHeight="true" outlineLevel="0" collapsed="false">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ustomFormat="false" ht="15" hidden="false" customHeight="true" outlineLevel="0" collapsed="false">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ustomFormat="false" ht="15" hidden="false" customHeight="true" outlineLevel="0" collapsed="false">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ustomFormat="false" ht="15" hidden="false" customHeight="true" outlineLevel="0" collapsed="false">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ustomFormat="false" ht="15" hidden="false" customHeight="true" outlineLevel="0" collapsed="false">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ustomFormat="false" ht="15" hidden="false" customHeight="true" outlineLevel="0" collapsed="false">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ustomFormat="false" ht="15" hidden="false" customHeight="true" outlineLevel="0" collapsed="false">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ustomFormat="false" ht="15" hidden="false" customHeight="true" outlineLevel="0" collapsed="false">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ustomFormat="false" ht="15" hidden="false" customHeight="true" outlineLevel="0" collapsed="false">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ustomFormat="false" ht="15" hidden="false" customHeight="true" outlineLevel="0" collapsed="false">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ustomFormat="false" ht="15" hidden="false" customHeight="true" outlineLevel="0" collapsed="false">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ustomFormat="false" ht="15" hidden="false" customHeight="true" outlineLevel="0" collapsed="false">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ustomFormat="false" ht="15" hidden="false" customHeight="true" outlineLevel="0" collapsed="false">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ustomFormat="false" ht="15" hidden="false" customHeight="true" outlineLevel="0" collapsed="false">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ustomFormat="false" ht="15" hidden="false" customHeight="true" outlineLevel="0" collapsed="false">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ustomFormat="false" ht="15" hidden="false" customHeight="true" outlineLevel="0" collapsed="false">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ustomFormat="false" ht="15" hidden="false" customHeight="true" outlineLevel="0" collapsed="false">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ustomFormat="false" ht="15" hidden="false" customHeight="true" outlineLevel="0" collapsed="false">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ustomFormat="false" ht="15" hidden="false" customHeight="true" outlineLevel="0" collapsed="false">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ustomFormat="false" ht="15" hidden="false" customHeight="true" outlineLevel="0" collapsed="false">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ustomFormat="false" ht="15" hidden="false" customHeight="true" outlineLevel="0" collapsed="false">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ustomFormat="false" ht="15" hidden="false" customHeight="true" outlineLevel="0" collapsed="false">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ustomFormat="false" ht="15" hidden="false" customHeight="true" outlineLevel="0" collapsed="false">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ustomFormat="false" ht="15" hidden="false" customHeight="true" outlineLevel="0" collapsed="false">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ustomFormat="false" ht="15" hidden="false" customHeight="true" outlineLevel="0" collapsed="false">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ustomFormat="false" ht="15" hidden="false" customHeight="true" outlineLevel="0" collapsed="false">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ustomFormat="false" ht="15" hidden="false" customHeight="true" outlineLevel="0" collapsed="false">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ustomFormat="false" ht="15" hidden="false" customHeight="true" outlineLevel="0" collapsed="false">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ustomFormat="false" ht="15" hidden="false" customHeight="true" outlineLevel="0" collapsed="false">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ustomFormat="false" ht="15" hidden="false" customHeight="true" outlineLevel="0" collapsed="false">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ustomFormat="false" ht="15" hidden="false" customHeight="true" outlineLevel="0" collapsed="false">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ustomFormat="false" ht="15" hidden="false" customHeight="true" outlineLevel="0" collapsed="false">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ustomFormat="false" ht="15" hidden="false" customHeight="true" outlineLevel="0" collapsed="false">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ustomFormat="false" ht="15" hidden="false" customHeight="true" outlineLevel="0" collapsed="false">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ustomFormat="false" ht="15" hidden="false" customHeight="true" outlineLevel="0" collapsed="false">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ustomFormat="false" ht="15" hidden="false" customHeight="true" outlineLevel="0" collapsed="false">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ustomFormat="false" ht="15" hidden="false" customHeight="true" outlineLevel="0" collapsed="false">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ustomFormat="false" ht="15" hidden="false" customHeight="true" outlineLevel="0" collapsed="false">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ustomFormat="false" ht="15" hidden="false" customHeight="true" outlineLevel="0" collapsed="false">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ustomFormat="false" ht="15" hidden="false" customHeight="true" outlineLevel="0" collapsed="false">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ustomFormat="false" ht="15" hidden="false" customHeight="true" outlineLevel="0" collapsed="false">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ustomFormat="false" ht="15" hidden="false" customHeight="true" outlineLevel="0" collapsed="false">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ustomFormat="false" ht="15" hidden="false" customHeight="true" outlineLevel="0" collapsed="false">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ustomFormat="false" ht="15" hidden="false" customHeight="true" outlineLevel="0" collapsed="false">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ustomFormat="false" ht="15" hidden="false" customHeight="true" outlineLevel="0" collapsed="false">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ustomFormat="false" ht="15" hidden="false" customHeight="true" outlineLevel="0" collapsed="false">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ustomFormat="false" ht="15" hidden="false" customHeight="true" outlineLevel="0" collapsed="false">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ustomFormat="false" ht="15" hidden="false" customHeight="true" outlineLevel="0" collapsed="false">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ustomFormat="false" ht="15" hidden="false" customHeight="true" outlineLevel="0" collapsed="false">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ustomFormat="false" ht="15" hidden="false" customHeight="true" outlineLevel="0" collapsed="false">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ustomFormat="false" ht="15" hidden="false" customHeight="true" outlineLevel="0" collapsed="false">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ustomFormat="false" ht="15" hidden="false" customHeight="true" outlineLevel="0" collapsed="false">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ustomFormat="false" ht="15" hidden="false" customHeight="true" outlineLevel="0" collapsed="false">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ustomFormat="false" ht="15" hidden="false" customHeight="true" outlineLevel="0" collapsed="false">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ustomFormat="false" ht="15" hidden="false" customHeight="true" outlineLevel="0" collapsed="false">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ustomFormat="false" ht="15" hidden="false" customHeight="true" outlineLevel="0" collapsed="false">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ustomFormat="false" ht="15" hidden="false" customHeight="true" outlineLevel="0" collapsed="false">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ustomFormat="false" ht="15" hidden="false" customHeight="true" outlineLevel="0" collapsed="false">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ustomFormat="false" ht="15" hidden="false" customHeight="true" outlineLevel="0" collapsed="false">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ustomFormat="false" ht="15" hidden="false" customHeight="true" outlineLevel="0" collapsed="false">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ustomFormat="false" ht="15" hidden="false" customHeight="true" outlineLevel="0" collapsed="false">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ustomFormat="false" ht="15" hidden="false" customHeight="true" outlineLevel="0" collapsed="false">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ustomFormat="false" ht="15" hidden="false" customHeight="true" outlineLevel="0" collapsed="false">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ustomFormat="false" ht="15" hidden="false" customHeight="true" outlineLevel="0" collapsed="false">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ustomFormat="false" ht="15" hidden="false" customHeight="true" outlineLevel="0" collapsed="false">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ustomFormat="false" ht="15" hidden="false" customHeight="true" outlineLevel="0" collapsed="false">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ustomFormat="false" ht="15" hidden="false" customHeight="true" outlineLevel="0" collapsed="false">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ustomFormat="false" ht="15" hidden="false" customHeight="true" outlineLevel="0" collapsed="false">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ustomFormat="false" ht="15" hidden="false" customHeight="true" outlineLevel="0" collapsed="false">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ustomFormat="false" ht="15" hidden="false" customHeight="true" outlineLevel="0" collapsed="false">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ustomFormat="false" ht="15" hidden="false" customHeight="true" outlineLevel="0" collapsed="false">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ustomFormat="false" ht="15" hidden="false" customHeight="true" outlineLevel="0" collapsed="false">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ustomFormat="false" ht="15" hidden="false" customHeight="true" outlineLevel="0" collapsed="false">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ustomFormat="false" ht="15" hidden="false" customHeight="true" outlineLevel="0" collapsed="false">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ustomFormat="false" ht="15" hidden="false" customHeight="true" outlineLevel="0" collapsed="false">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ustomFormat="false" ht="15" hidden="false" customHeight="true" outlineLevel="0" collapsed="false">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ustomFormat="false" ht="15" hidden="false" customHeight="true" outlineLevel="0" collapsed="false">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ustomFormat="false" ht="15" hidden="false" customHeight="true" outlineLevel="0" collapsed="false">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ustomFormat="false" ht="15" hidden="false" customHeight="true" outlineLevel="0" collapsed="false">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ustomFormat="false" ht="15" hidden="false" customHeight="true" outlineLevel="0" collapsed="false">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ustomFormat="false" ht="15" hidden="false" customHeight="true" outlineLevel="0" collapsed="false">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ustomFormat="false" ht="15" hidden="false" customHeight="true" outlineLevel="0" collapsed="false">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ustomFormat="false" ht="15" hidden="false" customHeight="true" outlineLevel="0" collapsed="false">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ustomFormat="false" ht="15" hidden="false" customHeight="true" outlineLevel="0" collapsed="false">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ustomFormat="false" ht="15" hidden="false" customHeight="true" outlineLevel="0" collapsed="false">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ustomFormat="false" ht="15" hidden="false" customHeight="true" outlineLevel="0" collapsed="false">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ustomFormat="false" ht="15" hidden="false" customHeight="true" outlineLevel="0" collapsed="false">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ustomFormat="false" ht="15" hidden="false" customHeight="true" outlineLevel="0" collapsed="false">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ustomFormat="false" ht="15" hidden="false" customHeight="true" outlineLevel="0" collapsed="false">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ustomFormat="false" ht="15" hidden="false" customHeight="true" outlineLevel="0" collapsed="false">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ustomFormat="false" ht="15" hidden="false" customHeight="true" outlineLevel="0" collapsed="false">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ustomFormat="false" ht="15" hidden="false" customHeight="true" outlineLevel="0" collapsed="false">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ustomFormat="false" ht="15" hidden="false" customHeight="true" outlineLevel="0" collapsed="false">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ustomFormat="false" ht="15" hidden="false" customHeight="true" outlineLevel="0" collapsed="false">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ustomFormat="false" ht="15" hidden="false" customHeight="true" outlineLevel="0" collapsed="false">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ustomFormat="false" ht="15" hidden="false" customHeight="true" outlineLevel="0" collapsed="false">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ustomFormat="false" ht="15" hidden="false" customHeight="true" outlineLevel="0" collapsed="false">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ustomFormat="false" ht="15" hidden="false" customHeight="true" outlineLevel="0" collapsed="false">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ustomFormat="false" ht="15" hidden="false" customHeight="true" outlineLevel="0" collapsed="false">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ustomFormat="false" ht="15" hidden="false" customHeight="true" outlineLevel="0" collapsed="false">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ustomFormat="false" ht="15" hidden="false" customHeight="true" outlineLevel="0" collapsed="false">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ustomFormat="false" ht="15" hidden="false" customHeight="true" outlineLevel="0" collapsed="false">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ustomFormat="false" ht="15" hidden="false" customHeight="true" outlineLevel="0" collapsed="false">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ustomFormat="false" ht="15" hidden="false" customHeight="true" outlineLevel="0" collapsed="false">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ustomFormat="false" ht="15" hidden="false" customHeight="true" outlineLevel="0" collapsed="false">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ustomFormat="false" ht="15" hidden="false" customHeight="true" outlineLevel="0" collapsed="false">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ustomFormat="false" ht="15" hidden="false" customHeight="true" outlineLevel="0" collapsed="false">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ustomFormat="false" ht="15" hidden="false" customHeight="true" outlineLevel="0" collapsed="false">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ustomFormat="false" ht="15" hidden="false" customHeight="true" outlineLevel="0" collapsed="false">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ustomFormat="false" ht="15" hidden="false" customHeight="true" outlineLevel="0" collapsed="false">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ustomFormat="false" ht="15" hidden="false" customHeight="true" outlineLevel="0" collapsed="false">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ustomFormat="false" ht="15" hidden="false" customHeight="true" outlineLevel="0" collapsed="false">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ustomFormat="false" ht="15" hidden="false" customHeight="true" outlineLevel="0" collapsed="false">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ustomFormat="false" ht="15" hidden="false" customHeight="true" outlineLevel="0" collapsed="false">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ustomFormat="false" ht="15" hidden="false" customHeight="true" outlineLevel="0" collapsed="false">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ustomFormat="false" ht="15" hidden="false" customHeight="true" outlineLevel="0" collapsed="false">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ustomFormat="false" ht="15" hidden="false" customHeight="true" outlineLevel="0" collapsed="false">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ustomFormat="false" ht="15" hidden="false" customHeight="true" outlineLevel="0" collapsed="false">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ustomFormat="false" ht="15" hidden="false" customHeight="true" outlineLevel="0" collapsed="false">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ustomFormat="false" ht="15" hidden="false" customHeight="true" outlineLevel="0" collapsed="false">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ustomFormat="false" ht="15" hidden="false" customHeight="true" outlineLevel="0" collapsed="false">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ustomFormat="false" ht="15" hidden="false" customHeight="true" outlineLevel="0" collapsed="false">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ustomFormat="false" ht="15" hidden="false" customHeight="true" outlineLevel="0" collapsed="false">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ustomFormat="false" ht="15" hidden="false" customHeight="true" outlineLevel="0" collapsed="false">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ustomFormat="false" ht="15" hidden="false" customHeight="true" outlineLevel="0" collapsed="false">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ustomFormat="false" ht="15" hidden="false" customHeight="true" outlineLevel="0" collapsed="false">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ustomFormat="false" ht="15" hidden="false" customHeight="true" outlineLevel="0" collapsed="false">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ustomFormat="false" ht="15" hidden="false" customHeight="true" outlineLevel="0" collapsed="false">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ustomFormat="false" ht="15" hidden="false" customHeight="true" outlineLevel="0" collapsed="false">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ustomFormat="false" ht="15" hidden="false" customHeight="true" outlineLevel="0" collapsed="false">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ustomFormat="false" ht="15" hidden="false" customHeight="true" outlineLevel="0" collapsed="false">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ustomFormat="false" ht="15" hidden="false" customHeight="true" outlineLevel="0" collapsed="false">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ustomFormat="false" ht="15" hidden="false" customHeight="true" outlineLevel="0" collapsed="false">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ustomFormat="false" ht="15" hidden="false" customHeight="true" outlineLevel="0" collapsed="false">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ustomFormat="false" ht="15" hidden="false" customHeight="true" outlineLevel="0" collapsed="false">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ustomFormat="false" ht="15" hidden="false" customHeight="true" outlineLevel="0" collapsed="false">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ustomFormat="false" ht="15" hidden="false" customHeight="true" outlineLevel="0" collapsed="false">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ustomFormat="false" ht="15" hidden="false" customHeight="true" outlineLevel="0" collapsed="false">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ustomFormat="false" ht="15" hidden="false" customHeight="true" outlineLevel="0" collapsed="false">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ustomFormat="false" ht="15" hidden="false" customHeight="true" outlineLevel="0" collapsed="false">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ustomFormat="false" ht="15" hidden="false" customHeight="true" outlineLevel="0" collapsed="false">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ustomFormat="false" ht="15" hidden="false" customHeight="true" outlineLevel="0" collapsed="false">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ustomFormat="false" ht="15" hidden="false" customHeight="true" outlineLevel="0" collapsed="false">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ustomFormat="false" ht="15" hidden="false" customHeight="true" outlineLevel="0" collapsed="false">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ustomFormat="false" ht="15" hidden="false" customHeight="true" outlineLevel="0" collapsed="false">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ustomFormat="false" ht="15" hidden="false" customHeight="true" outlineLevel="0" collapsed="false">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ustomFormat="false" ht="15" hidden="false" customHeight="true" outlineLevel="0" collapsed="false">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ustomFormat="false" ht="15" hidden="false" customHeight="true" outlineLevel="0" collapsed="false">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ustomFormat="false" ht="15" hidden="false" customHeight="true" outlineLevel="0" collapsed="false">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ustomFormat="false" ht="15" hidden="false" customHeight="true" outlineLevel="0" collapsed="false">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ustomFormat="false" ht="15" hidden="false" customHeight="true" outlineLevel="0" collapsed="false">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ustomFormat="false" ht="15" hidden="false" customHeight="true" outlineLevel="0" collapsed="false">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ustomFormat="false" ht="15" hidden="false" customHeight="true" outlineLevel="0" collapsed="false">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ustomFormat="false" ht="15" hidden="false" customHeight="true" outlineLevel="0" collapsed="false">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ustomFormat="false" ht="15" hidden="false" customHeight="true" outlineLevel="0" collapsed="false">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ustomFormat="false" ht="15" hidden="false" customHeight="true" outlineLevel="0" collapsed="false">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ustomFormat="false" ht="15" hidden="false" customHeight="true" outlineLevel="0" collapsed="false">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ustomFormat="false" ht="15" hidden="false" customHeight="true" outlineLevel="0" collapsed="false">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ustomFormat="false" ht="15" hidden="false" customHeight="true" outlineLevel="0" collapsed="false">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ustomFormat="false" ht="15" hidden="false" customHeight="true" outlineLevel="0" collapsed="false">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ustomFormat="false" ht="15" hidden="false" customHeight="true" outlineLevel="0" collapsed="false">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ustomFormat="false" ht="15" hidden="false" customHeight="true" outlineLevel="0" collapsed="false">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ustomFormat="false" ht="15" hidden="false" customHeight="true" outlineLevel="0" collapsed="false">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ustomFormat="false" ht="15" hidden="false" customHeight="true" outlineLevel="0" collapsed="false">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ustomFormat="false" ht="15" hidden="false" customHeight="true" outlineLevel="0" collapsed="false">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ustomFormat="false" ht="15" hidden="false" customHeight="true" outlineLevel="0" collapsed="false">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ustomFormat="false" ht="15" hidden="false" customHeight="true" outlineLevel="0" collapsed="false">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ustomFormat="false" ht="15" hidden="false" customHeight="true" outlineLevel="0" collapsed="false">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ustomFormat="false" ht="15" hidden="false" customHeight="true" outlineLevel="0" collapsed="false">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ustomFormat="false" ht="15" hidden="false" customHeight="true" outlineLevel="0" collapsed="false">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ustomFormat="false" ht="15" hidden="false" customHeight="true" outlineLevel="0" collapsed="false">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ustomFormat="false" ht="15" hidden="false" customHeight="true" outlineLevel="0" collapsed="false">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ustomFormat="false" ht="15" hidden="false" customHeight="true" outlineLevel="0" collapsed="false">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ustomFormat="false" ht="15" hidden="false" customHeight="true" outlineLevel="0" collapsed="false">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ustomFormat="false" ht="15" hidden="false" customHeight="true" outlineLevel="0" collapsed="false">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ustomFormat="false" ht="15" hidden="false" customHeight="true" outlineLevel="0" collapsed="false">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ustomFormat="false" ht="15" hidden="false" customHeight="true" outlineLevel="0" collapsed="false">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ustomFormat="false" ht="15" hidden="false" customHeight="true" outlineLevel="0" collapsed="false">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ustomFormat="false" ht="15" hidden="false" customHeight="true" outlineLevel="0" collapsed="false">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ustomFormat="false" ht="15" hidden="false" customHeight="true" outlineLevel="0" collapsed="false">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ustomFormat="false" ht="15" hidden="false" customHeight="true" outlineLevel="0" collapsed="false">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ustomFormat="false" ht="15" hidden="false" customHeight="true" outlineLevel="0" collapsed="false">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ustomFormat="false" ht="15" hidden="false" customHeight="true" outlineLevel="0" collapsed="false">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ustomFormat="false" ht="15" hidden="false" customHeight="true" outlineLevel="0" collapsed="false">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ustomFormat="false" ht="15" hidden="false" customHeight="true" outlineLevel="0" collapsed="false">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ustomFormat="false" ht="15" hidden="false" customHeight="true" outlineLevel="0" collapsed="false">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ustomFormat="false" ht="15" hidden="false" customHeight="true" outlineLevel="0" collapsed="false">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ustomFormat="false" ht="15" hidden="false" customHeight="true" outlineLevel="0" collapsed="false">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ustomFormat="false" ht="15" hidden="false" customHeight="true" outlineLevel="0" collapsed="false">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ustomFormat="false" ht="15" hidden="false" customHeight="true" outlineLevel="0" collapsed="false">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ustomFormat="false" ht="15" hidden="false" customHeight="true" outlineLevel="0" collapsed="false">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ustomFormat="false" ht="15" hidden="false" customHeight="true" outlineLevel="0" collapsed="false">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ustomFormat="false" ht="15" hidden="false" customHeight="true" outlineLevel="0" collapsed="false">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ustomFormat="false" ht="15" hidden="false" customHeight="true" outlineLevel="0" collapsed="false">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ustomFormat="false" ht="15" hidden="false" customHeight="true" outlineLevel="0" collapsed="false">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ustomFormat="false" ht="15" hidden="false" customHeight="true" outlineLevel="0" collapsed="false">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ustomFormat="false" ht="15" hidden="false" customHeight="true" outlineLevel="0" collapsed="false">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ustomFormat="false" ht="15" hidden="false" customHeight="true" outlineLevel="0" collapsed="false">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ustomFormat="false" ht="15" hidden="false" customHeight="true" outlineLevel="0" collapsed="false">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ustomFormat="false" ht="15" hidden="false" customHeight="true" outlineLevel="0" collapsed="false">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ustomFormat="false" ht="15" hidden="false" customHeight="true" outlineLevel="0" collapsed="false">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ustomFormat="false" ht="15" hidden="false" customHeight="true" outlineLevel="0" collapsed="false">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ustomFormat="false" ht="15" hidden="false" customHeight="true" outlineLevel="0" collapsed="false">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ustomFormat="false" ht="15" hidden="false" customHeight="true" outlineLevel="0" collapsed="false">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ustomFormat="false" ht="15" hidden="false" customHeight="true" outlineLevel="0" collapsed="false">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ustomFormat="false" ht="15" hidden="false" customHeight="true" outlineLevel="0" collapsed="false">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ustomFormat="false" ht="15" hidden="false" customHeight="true" outlineLevel="0" collapsed="false">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ustomFormat="false" ht="15" hidden="false" customHeight="true" outlineLevel="0" collapsed="false">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ustomFormat="false" ht="15" hidden="false" customHeight="true" outlineLevel="0" collapsed="false">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ustomFormat="false" ht="15" hidden="false" customHeight="true" outlineLevel="0" collapsed="false">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ustomFormat="false" ht="15" hidden="false" customHeight="true" outlineLevel="0" collapsed="false">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ustomFormat="false" ht="15" hidden="false" customHeight="true" outlineLevel="0" collapsed="false">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ustomFormat="false" ht="15" hidden="false" customHeight="true" outlineLevel="0" collapsed="false">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ustomFormat="false" ht="15" hidden="false" customHeight="true" outlineLevel="0" collapsed="false">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ustomFormat="false" ht="15" hidden="false" customHeight="true" outlineLevel="0" collapsed="false">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ustomFormat="false" ht="15" hidden="false" customHeight="true" outlineLevel="0" collapsed="false">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ustomFormat="false" ht="15" hidden="false" customHeight="true" outlineLevel="0" collapsed="false">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ustomFormat="false" ht="15" hidden="false" customHeight="true" outlineLevel="0" collapsed="false">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ustomFormat="false" ht="15" hidden="false" customHeight="true" outlineLevel="0" collapsed="false">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ustomFormat="false" ht="15" hidden="false" customHeight="true" outlineLevel="0" collapsed="false">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ustomFormat="false" ht="15" hidden="false" customHeight="true" outlineLevel="0" collapsed="false">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ustomFormat="false" ht="15" hidden="false" customHeight="true" outlineLevel="0" collapsed="false">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ustomFormat="false" ht="15" hidden="false" customHeight="true" outlineLevel="0" collapsed="false">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ustomFormat="false" ht="15" hidden="false" customHeight="true" outlineLevel="0" collapsed="false">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ustomFormat="false" ht="15" hidden="false" customHeight="true" outlineLevel="0" collapsed="false">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ustomFormat="false" ht="15" hidden="false" customHeight="true" outlineLevel="0" collapsed="false">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ustomFormat="false" ht="15" hidden="false" customHeight="true" outlineLevel="0" collapsed="false">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ustomFormat="false" ht="15" hidden="false" customHeight="true" outlineLevel="0" collapsed="false">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ustomFormat="false" ht="15" hidden="false" customHeight="true" outlineLevel="0" collapsed="false">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ustomFormat="false" ht="15" hidden="false" customHeight="true" outlineLevel="0" collapsed="false">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ustomFormat="false" ht="15" hidden="false" customHeight="true" outlineLevel="0" collapsed="false">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ustomFormat="false" ht="15" hidden="false" customHeight="true" outlineLevel="0" collapsed="false">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ustomFormat="false" ht="15" hidden="false" customHeight="true" outlineLevel="0" collapsed="false">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ustomFormat="false" ht="15" hidden="false" customHeight="true" outlineLevel="0" collapsed="false">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ustomFormat="false" ht="15" hidden="false" customHeight="true" outlineLevel="0" collapsed="false">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ustomFormat="false" ht="15" hidden="false" customHeight="true" outlineLevel="0" collapsed="false">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ustomFormat="false" ht="15" hidden="false" customHeight="true" outlineLevel="0" collapsed="false">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ustomFormat="false" ht="15" hidden="false" customHeight="true" outlineLevel="0" collapsed="false">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ustomFormat="false" ht="15" hidden="false" customHeight="true" outlineLevel="0" collapsed="false">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ustomFormat="false" ht="15" hidden="false" customHeight="true" outlineLevel="0" collapsed="false">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ustomFormat="false" ht="15" hidden="false" customHeight="true" outlineLevel="0" collapsed="false">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ustomFormat="false" ht="15" hidden="false" customHeight="true" outlineLevel="0" collapsed="false">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ustomFormat="false" ht="15" hidden="false" customHeight="true" outlineLevel="0" collapsed="false">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ustomFormat="false" ht="15" hidden="false" customHeight="true" outlineLevel="0" collapsed="false">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ustomFormat="false" ht="15" hidden="false" customHeight="true" outlineLevel="0" collapsed="false">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ustomFormat="false" ht="15" hidden="false" customHeight="true" outlineLevel="0" collapsed="false">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ustomFormat="false" ht="15" hidden="false" customHeight="true" outlineLevel="0" collapsed="false">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ustomFormat="false" ht="15" hidden="false" customHeight="true" outlineLevel="0" collapsed="false">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ustomFormat="false" ht="15" hidden="false" customHeight="true" outlineLevel="0" collapsed="false">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ustomFormat="false" ht="15" hidden="false" customHeight="true" outlineLevel="0" collapsed="false">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ustomFormat="false" ht="15" hidden="false" customHeight="true" outlineLevel="0" collapsed="false">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ustomFormat="false" ht="15" hidden="false" customHeight="true" outlineLevel="0" collapsed="false">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ustomFormat="false" ht="15" hidden="false" customHeight="true" outlineLevel="0" collapsed="false">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ustomFormat="false" ht="15" hidden="false" customHeight="true" outlineLevel="0" collapsed="false">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ustomFormat="false" ht="15" hidden="false" customHeight="true" outlineLevel="0" collapsed="false">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ustomFormat="false" ht="15" hidden="false" customHeight="true" outlineLevel="0" collapsed="false">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ustomFormat="false" ht="15" hidden="false" customHeight="true" outlineLevel="0" collapsed="false">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ustomFormat="false" ht="15" hidden="false" customHeight="true" outlineLevel="0" collapsed="false">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ustomFormat="false" ht="15" hidden="false" customHeight="true" outlineLevel="0" collapsed="false">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ustomFormat="false" ht="15" hidden="false" customHeight="true" outlineLevel="0" collapsed="false">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ustomFormat="false" ht="15" hidden="false" customHeight="true" outlineLevel="0" collapsed="false">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ustomFormat="false" ht="15" hidden="false" customHeight="true" outlineLevel="0" collapsed="false">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ustomFormat="false" ht="15" hidden="false" customHeight="true" outlineLevel="0" collapsed="false">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ustomFormat="false" ht="15" hidden="false" customHeight="true" outlineLevel="0" collapsed="false">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ustomFormat="false" ht="15" hidden="false" customHeight="true" outlineLevel="0" collapsed="false">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ustomFormat="false" ht="15" hidden="false" customHeight="true" outlineLevel="0" collapsed="false">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ustomFormat="false" ht="15" hidden="false" customHeight="true" outlineLevel="0" collapsed="false">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ustomFormat="false" ht="15" hidden="false" customHeight="true" outlineLevel="0" collapsed="false">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ustomFormat="false" ht="15" hidden="false" customHeight="true" outlineLevel="0" collapsed="false">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ustomFormat="false" ht="15" hidden="false" customHeight="true" outlineLevel="0" collapsed="false">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ustomFormat="false" ht="15" hidden="false" customHeight="true" outlineLevel="0" collapsed="false">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ustomFormat="false" ht="15" hidden="false" customHeight="true" outlineLevel="0" collapsed="false">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ustomFormat="false" ht="15" hidden="false" customHeight="true" outlineLevel="0" collapsed="false">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ustomFormat="false" ht="15" hidden="false" customHeight="true" outlineLevel="0" collapsed="false">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ustomFormat="false" ht="15" hidden="false" customHeight="true" outlineLevel="0" collapsed="false">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ustomFormat="false" ht="15" hidden="false" customHeight="true" outlineLevel="0" collapsed="false">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ustomFormat="false" ht="15" hidden="false" customHeight="true" outlineLevel="0" collapsed="false">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ustomFormat="false" ht="15" hidden="false" customHeight="true" outlineLevel="0" collapsed="false">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ustomFormat="false" ht="15" hidden="false" customHeight="true" outlineLevel="0" collapsed="false">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ustomFormat="false" ht="15" hidden="false" customHeight="true" outlineLevel="0" collapsed="false">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ustomFormat="false" ht="15" hidden="false" customHeight="true" outlineLevel="0" collapsed="false">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ustomFormat="false" ht="15" hidden="false" customHeight="true" outlineLevel="0" collapsed="false">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ustomFormat="false" ht="15" hidden="false" customHeight="true" outlineLevel="0" collapsed="false">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ustomFormat="false" ht="15" hidden="false" customHeight="true" outlineLevel="0" collapsed="false">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ustomFormat="false" ht="15" hidden="false" customHeight="true" outlineLevel="0" collapsed="false">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ustomFormat="false" ht="15" hidden="false" customHeight="true" outlineLevel="0" collapsed="false">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ustomFormat="false" ht="15" hidden="false" customHeight="true" outlineLevel="0" collapsed="false">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ustomFormat="false" ht="15" hidden="false" customHeight="true" outlineLevel="0" collapsed="false">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ustomFormat="false" ht="15" hidden="false" customHeight="true" outlineLevel="0" collapsed="false">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ustomFormat="false" ht="15" hidden="false" customHeight="true" outlineLevel="0" collapsed="false">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ustomFormat="false" ht="15" hidden="false" customHeight="true" outlineLevel="0" collapsed="false">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ustomFormat="false" ht="15" hidden="false" customHeight="true" outlineLevel="0" collapsed="false">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ustomFormat="false" ht="15" hidden="false" customHeight="true" outlineLevel="0" collapsed="false">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ustomFormat="false" ht="15" hidden="false" customHeight="true" outlineLevel="0" collapsed="false">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ustomFormat="false" ht="15" hidden="false" customHeight="true" outlineLevel="0" collapsed="false">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ustomFormat="false" ht="15" hidden="false" customHeight="true" outlineLevel="0" collapsed="false">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ustomFormat="false" ht="15" hidden="false" customHeight="true" outlineLevel="0" collapsed="false">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ustomFormat="false" ht="15" hidden="false" customHeight="true" outlineLevel="0" collapsed="false">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ustomFormat="false" ht="15" hidden="false" customHeight="true" outlineLevel="0" collapsed="false">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ustomFormat="false" ht="15" hidden="false" customHeight="true" outlineLevel="0" collapsed="false">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ustomFormat="false" ht="15" hidden="false" customHeight="true" outlineLevel="0" collapsed="false">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ustomFormat="false" ht="15" hidden="false" customHeight="true" outlineLevel="0" collapsed="false">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ustomFormat="false" ht="15" hidden="false" customHeight="true" outlineLevel="0" collapsed="false">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ustomFormat="false" ht="15" hidden="false" customHeight="true" outlineLevel="0" collapsed="false">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ustomFormat="false" ht="15" hidden="false" customHeight="true" outlineLevel="0" collapsed="false">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ustomFormat="false" ht="15" hidden="false" customHeight="true" outlineLevel="0" collapsed="false">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ustomFormat="false" ht="15" hidden="false" customHeight="true" outlineLevel="0" collapsed="false">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ustomFormat="false" ht="15" hidden="false" customHeight="true" outlineLevel="0" collapsed="false">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ustomFormat="false" ht="15" hidden="false" customHeight="true" outlineLevel="0" collapsed="false">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ustomFormat="false" ht="15" hidden="false" customHeight="true" outlineLevel="0" collapsed="false">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ustomFormat="false" ht="15" hidden="false" customHeight="true" outlineLevel="0" collapsed="false">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ustomFormat="false" ht="15" hidden="false" customHeight="true" outlineLevel="0" collapsed="false">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ustomFormat="false" ht="15" hidden="false" customHeight="true" outlineLevel="0" collapsed="false">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ustomFormat="false" ht="15" hidden="false" customHeight="true" outlineLevel="0" collapsed="false">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ustomFormat="false" ht="15" hidden="false" customHeight="true" outlineLevel="0" collapsed="false">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ustomFormat="false" ht="15" hidden="false" customHeight="true" outlineLevel="0" collapsed="false">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ustomFormat="false" ht="15" hidden="false" customHeight="true" outlineLevel="0" collapsed="false">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ustomFormat="false" ht="15" hidden="false" customHeight="true" outlineLevel="0" collapsed="false">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ustomFormat="false" ht="15" hidden="false" customHeight="true" outlineLevel="0" collapsed="false">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ustomFormat="false" ht="15" hidden="false" customHeight="true" outlineLevel="0" collapsed="false">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ustomFormat="false" ht="15" hidden="false" customHeight="true" outlineLevel="0" collapsed="false">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ustomFormat="false" ht="15" hidden="false" customHeight="true" outlineLevel="0" collapsed="false">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ustomFormat="false" ht="15" hidden="false" customHeight="true" outlineLevel="0" collapsed="false">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ustomFormat="false" ht="15" hidden="false" customHeight="true" outlineLevel="0" collapsed="false">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ustomFormat="false" ht="15" hidden="false" customHeight="true" outlineLevel="0" collapsed="false">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ustomFormat="false" ht="15" hidden="false" customHeight="true" outlineLevel="0" collapsed="false">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ustomFormat="false" ht="15" hidden="false" customHeight="true" outlineLevel="0" collapsed="false">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ustomFormat="false" ht="15" hidden="false" customHeight="true" outlineLevel="0" collapsed="false">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ustomFormat="false" ht="15" hidden="false" customHeight="true" outlineLevel="0" collapsed="false">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ustomFormat="false" ht="15" hidden="false" customHeight="true" outlineLevel="0" collapsed="false">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ustomFormat="false" ht="15" hidden="false" customHeight="true" outlineLevel="0" collapsed="false">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ustomFormat="false" ht="15" hidden="false" customHeight="true" outlineLevel="0" collapsed="false">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ustomFormat="false" ht="15" hidden="false" customHeight="true" outlineLevel="0" collapsed="false">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ustomFormat="false" ht="15" hidden="false" customHeight="true" outlineLevel="0" collapsed="false">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ustomFormat="false" ht="15" hidden="false" customHeight="true" outlineLevel="0" collapsed="false">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ustomFormat="false" ht="15" hidden="false" customHeight="true" outlineLevel="0" collapsed="false">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ustomFormat="false" ht="15" hidden="false" customHeight="true" outlineLevel="0" collapsed="false">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ustomFormat="false" ht="15" hidden="false" customHeight="true" outlineLevel="0" collapsed="false">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ustomFormat="false" ht="15" hidden="false" customHeight="true" outlineLevel="0" collapsed="false">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ustomFormat="false" ht="15" hidden="false" customHeight="true" outlineLevel="0" collapsed="false">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ustomFormat="false" ht="15" hidden="false" customHeight="true" outlineLevel="0" collapsed="false">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ustomFormat="false" ht="15" hidden="false" customHeight="true" outlineLevel="0" collapsed="false">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ustomFormat="false" ht="15" hidden="false" customHeight="true" outlineLevel="0" collapsed="false">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ustomFormat="false" ht="15" hidden="false" customHeight="true" outlineLevel="0" collapsed="false">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ustomFormat="false" ht="15" hidden="false" customHeight="true" outlineLevel="0" collapsed="false">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ustomFormat="false" ht="15" hidden="false" customHeight="true" outlineLevel="0" collapsed="false">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ustomFormat="false" ht="15" hidden="false" customHeight="true" outlineLevel="0" collapsed="false">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ustomFormat="false" ht="15" hidden="false" customHeight="true" outlineLevel="0" collapsed="false">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ustomFormat="false" ht="15" hidden="false" customHeight="true" outlineLevel="0" collapsed="false">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ustomFormat="false" ht="15" hidden="false" customHeight="true" outlineLevel="0" collapsed="false">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ustomFormat="false" ht="15" hidden="false" customHeight="true" outlineLevel="0" collapsed="false">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ustomFormat="false" ht="15" hidden="false" customHeight="true" outlineLevel="0" collapsed="false">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ustomFormat="false" ht="15" hidden="false" customHeight="true" outlineLevel="0" collapsed="false">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ustomFormat="false" ht="15" hidden="false" customHeight="true" outlineLevel="0" collapsed="false">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ustomFormat="false" ht="15" hidden="false" customHeight="true" outlineLevel="0" collapsed="false">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ustomFormat="false" ht="15" hidden="false" customHeight="true" outlineLevel="0" collapsed="false">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ustomFormat="false" ht="15" hidden="false" customHeight="true" outlineLevel="0" collapsed="false">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ustomFormat="false" ht="15" hidden="false" customHeight="true" outlineLevel="0" collapsed="false">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ustomFormat="false" ht="15" hidden="false" customHeight="true" outlineLevel="0" collapsed="false">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ustomFormat="false" ht="15" hidden="false" customHeight="true" outlineLevel="0" collapsed="false">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ustomFormat="false" ht="15" hidden="false" customHeight="true" outlineLevel="0" collapsed="false">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ustomFormat="false" ht="15" hidden="false" customHeight="true" outlineLevel="0" collapsed="false">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ustomFormat="false" ht="15" hidden="false" customHeight="true" outlineLevel="0" collapsed="false">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ustomFormat="false" ht="15" hidden="false" customHeight="true" outlineLevel="0" collapsed="false">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ustomFormat="false" ht="15" hidden="false" customHeight="true" outlineLevel="0" collapsed="false">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ustomFormat="false" ht="15" hidden="false" customHeight="true" outlineLevel="0" collapsed="false">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ustomFormat="false" ht="15" hidden="false" customHeight="true" outlineLevel="0" collapsed="false">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ustomFormat="false" ht="15" hidden="false" customHeight="true" outlineLevel="0" collapsed="false">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ustomFormat="false" ht="15" hidden="false" customHeight="true" outlineLevel="0" collapsed="false">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ustomFormat="false" ht="15" hidden="false" customHeight="true" outlineLevel="0" collapsed="false">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ustomFormat="false" ht="15" hidden="false" customHeight="true" outlineLevel="0" collapsed="false">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ustomFormat="false" ht="15" hidden="false" customHeight="true" outlineLevel="0" collapsed="false">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ustomFormat="false" ht="15" hidden="false" customHeight="true" outlineLevel="0" collapsed="false">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ustomFormat="false" ht="15" hidden="false" customHeight="true" outlineLevel="0" collapsed="false">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ustomFormat="false" ht="15" hidden="false" customHeight="true" outlineLevel="0" collapsed="false">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ustomFormat="false" ht="15" hidden="false" customHeight="true" outlineLevel="0" collapsed="false">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ustomFormat="false" ht="15" hidden="false" customHeight="true" outlineLevel="0" collapsed="false">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ustomFormat="false" ht="15" hidden="false" customHeight="true" outlineLevel="0" collapsed="false">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ustomFormat="false" ht="15" hidden="false" customHeight="true" outlineLevel="0" collapsed="false">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ustomFormat="false" ht="15" hidden="false" customHeight="true" outlineLevel="0" collapsed="false">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ustomFormat="false" ht="15" hidden="false" customHeight="true" outlineLevel="0" collapsed="false">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ustomFormat="false" ht="15" hidden="false" customHeight="true" outlineLevel="0" collapsed="false">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ustomFormat="false" ht="15" hidden="false" customHeight="true" outlineLevel="0" collapsed="false">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ustomFormat="false" ht="15" hidden="false" customHeight="true" outlineLevel="0" collapsed="false">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ustomFormat="false" ht="15" hidden="false" customHeight="true" outlineLevel="0" collapsed="false">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ustomFormat="false" ht="15" hidden="false" customHeight="true" outlineLevel="0" collapsed="false">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ustomFormat="false" ht="15" hidden="false" customHeight="true" outlineLevel="0" collapsed="false">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ustomFormat="false" ht="15" hidden="false" customHeight="true" outlineLevel="0" collapsed="false">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ustomFormat="false" ht="15" hidden="false" customHeight="true" outlineLevel="0" collapsed="false">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ustomFormat="false" ht="15" hidden="false" customHeight="true" outlineLevel="0" collapsed="false">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ustomFormat="false" ht="15" hidden="false" customHeight="true" outlineLevel="0" collapsed="false">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ustomFormat="false" ht="15" hidden="false" customHeight="true" outlineLevel="0" collapsed="false">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ustomFormat="false" ht="15" hidden="false" customHeight="true" outlineLevel="0" collapsed="false">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ustomFormat="false" ht="15" hidden="false" customHeight="true" outlineLevel="0" collapsed="false">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ustomFormat="false" ht="15" hidden="false" customHeight="true" outlineLevel="0" collapsed="false">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ustomFormat="false" ht="15" hidden="false" customHeight="true" outlineLevel="0" collapsed="false">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ustomFormat="false" ht="15" hidden="false" customHeight="true" outlineLevel="0" collapsed="false">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ustomFormat="false" ht="15" hidden="false" customHeight="true" outlineLevel="0" collapsed="false">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ustomFormat="false" ht="15" hidden="false" customHeight="true" outlineLevel="0" collapsed="false">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ustomFormat="false" ht="15" hidden="false" customHeight="true" outlineLevel="0" collapsed="false">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ustomFormat="false" ht="15" hidden="false" customHeight="true" outlineLevel="0" collapsed="false">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ustomFormat="false" ht="15" hidden="false" customHeight="true" outlineLevel="0" collapsed="false">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ustomFormat="false" ht="15" hidden="false" customHeight="true" outlineLevel="0" collapsed="false">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ustomFormat="false" ht="15" hidden="false" customHeight="true" outlineLevel="0" collapsed="false">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ustomFormat="false" ht="15" hidden="false" customHeight="true" outlineLevel="0" collapsed="false">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ustomFormat="false" ht="15" hidden="false" customHeight="true" outlineLevel="0" collapsed="false">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ustomFormat="false" ht="15" hidden="false" customHeight="true" outlineLevel="0" collapsed="false">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ustomFormat="false" ht="15" hidden="false" customHeight="true" outlineLevel="0" collapsed="false">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ustomFormat="false" ht="15" hidden="false" customHeight="true" outlineLevel="0" collapsed="false">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ustomFormat="false" ht="15" hidden="false" customHeight="true" outlineLevel="0" collapsed="false">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ustomFormat="false" ht="15" hidden="false" customHeight="true" outlineLevel="0" collapsed="false">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ustomFormat="false" ht="15" hidden="false" customHeight="true" outlineLevel="0" collapsed="false">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ustomFormat="false" ht="15" hidden="false" customHeight="true" outlineLevel="0" collapsed="false">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ustomFormat="false" ht="15" hidden="false" customHeight="true" outlineLevel="0" collapsed="false">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ustomFormat="false" ht="15" hidden="false" customHeight="true" outlineLevel="0" collapsed="false">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ustomFormat="false" ht="15" hidden="false" customHeight="true" outlineLevel="0" collapsed="false">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ustomFormat="false" ht="15" hidden="false" customHeight="true" outlineLevel="0" collapsed="false">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ustomFormat="false" ht="15" hidden="false" customHeight="true" outlineLevel="0" collapsed="false">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ustomFormat="false" ht="15" hidden="false" customHeight="true" outlineLevel="0" collapsed="false">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ustomFormat="false" ht="15" hidden="false" customHeight="true" outlineLevel="0" collapsed="false">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ustomFormat="false" ht="15" hidden="false" customHeight="true" outlineLevel="0" collapsed="false">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ustomFormat="false" ht="15" hidden="false" customHeight="true" outlineLevel="0" collapsed="false">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ustomFormat="false" ht="15" hidden="false" customHeight="true" outlineLevel="0" collapsed="false">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ustomFormat="false" ht="15" hidden="false" customHeight="true" outlineLevel="0" collapsed="false">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ustomFormat="false" ht="15" hidden="false" customHeight="true" outlineLevel="0" collapsed="false">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ustomFormat="false" ht="15" hidden="false" customHeight="true" outlineLevel="0" collapsed="false">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ustomFormat="false" ht="15" hidden="false" customHeight="true" outlineLevel="0" collapsed="false">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ustomFormat="false" ht="15" hidden="false" customHeight="true" outlineLevel="0" collapsed="false">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ustomFormat="false" ht="15" hidden="false" customHeight="true" outlineLevel="0" collapsed="false">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ustomFormat="false" ht="15" hidden="false" customHeight="true" outlineLevel="0" collapsed="false">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ustomFormat="false" ht="15" hidden="false" customHeight="true" outlineLevel="0" collapsed="false">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ustomFormat="false" ht="15" hidden="false" customHeight="true" outlineLevel="0" collapsed="false">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ustomFormat="false" ht="15" hidden="false" customHeight="true" outlineLevel="0" collapsed="false">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ustomFormat="false" ht="15" hidden="false" customHeight="true" outlineLevel="0" collapsed="false">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ustomFormat="false" ht="15" hidden="false" customHeight="true" outlineLevel="0" collapsed="false">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ustomFormat="false" ht="15" hidden="false" customHeight="true" outlineLevel="0" collapsed="false">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ustomFormat="false" ht="15" hidden="false" customHeight="true" outlineLevel="0" collapsed="false">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ustomFormat="false" ht="15" hidden="false" customHeight="true" outlineLevel="0" collapsed="false">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ustomFormat="false" ht="15" hidden="false" customHeight="true" outlineLevel="0" collapsed="false">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ustomFormat="false" ht="15" hidden="false" customHeight="true" outlineLevel="0" collapsed="false">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ustomFormat="false" ht="15" hidden="false" customHeight="true" outlineLevel="0" collapsed="false">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ustomFormat="false" ht="15" hidden="false" customHeight="true" outlineLevel="0" collapsed="false">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ustomFormat="false" ht="15" hidden="false" customHeight="true" outlineLevel="0" collapsed="false">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ustomFormat="false" ht="15" hidden="false" customHeight="true" outlineLevel="0" collapsed="false">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ustomFormat="false" ht="15" hidden="false" customHeight="true" outlineLevel="0" collapsed="false">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ustomFormat="false" ht="15" hidden="false" customHeight="true" outlineLevel="0" collapsed="false">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ustomFormat="false" ht="15" hidden="false" customHeight="true" outlineLevel="0" collapsed="false">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ustomFormat="false" ht="15" hidden="false" customHeight="true" outlineLevel="0" collapsed="false">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ustomFormat="false" ht="15" hidden="false" customHeight="true" outlineLevel="0" collapsed="false">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ustomFormat="false" ht="15" hidden="false" customHeight="true" outlineLevel="0" collapsed="false">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ustomFormat="false" ht="15" hidden="false" customHeight="true" outlineLevel="0" collapsed="false">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ustomFormat="false" ht="15" hidden="false" customHeight="true" outlineLevel="0" collapsed="false">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ustomFormat="false" ht="15" hidden="false" customHeight="true" outlineLevel="0" collapsed="false">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ustomFormat="false" ht="15" hidden="false" customHeight="true" outlineLevel="0" collapsed="false">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ustomFormat="false" ht="15" hidden="false" customHeight="true" outlineLevel="0" collapsed="false">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ustomFormat="false" ht="15" hidden="false" customHeight="true" outlineLevel="0" collapsed="false">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ustomFormat="false" ht="15" hidden="false" customHeight="true" outlineLevel="0" collapsed="false">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ustomFormat="false" ht="15" hidden="false" customHeight="true" outlineLevel="0" collapsed="false">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ustomFormat="false" ht="15" hidden="false" customHeight="true" outlineLevel="0" collapsed="false">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ustomFormat="false" ht="15" hidden="false" customHeight="true" outlineLevel="0" collapsed="false">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ustomFormat="false" ht="15" hidden="false" customHeight="true" outlineLevel="0" collapsed="false">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ustomFormat="false" ht="15" hidden="false" customHeight="true" outlineLevel="0" collapsed="false">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ustomFormat="false" ht="15" hidden="false" customHeight="true" outlineLevel="0" collapsed="false">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ustomFormat="false" ht="15" hidden="false" customHeight="true" outlineLevel="0" collapsed="false">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ustomFormat="false" ht="15" hidden="false" customHeight="true" outlineLevel="0" collapsed="false">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ustomFormat="false" ht="15" hidden="false" customHeight="true" outlineLevel="0" collapsed="false">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ustomFormat="false" ht="15" hidden="false" customHeight="true" outlineLevel="0" collapsed="false">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ustomFormat="false" ht="15" hidden="false" customHeight="true" outlineLevel="0" collapsed="false">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ustomFormat="false" ht="15" hidden="false" customHeight="true" outlineLevel="0" collapsed="false">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ustomFormat="false" ht="15" hidden="false" customHeight="true" outlineLevel="0" collapsed="false">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ustomFormat="false" ht="15" hidden="false" customHeight="true" outlineLevel="0" collapsed="false">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ustomFormat="false" ht="15" hidden="false" customHeight="true" outlineLevel="0" collapsed="false">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ustomFormat="false" ht="15" hidden="false" customHeight="true" outlineLevel="0" collapsed="false">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ustomFormat="false" ht="15" hidden="false" customHeight="true" outlineLevel="0" collapsed="false">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ustomFormat="false" ht="15" hidden="false" customHeight="true" outlineLevel="0" collapsed="false">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ustomFormat="false" ht="15" hidden="false" customHeight="true" outlineLevel="0" collapsed="false">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ustomFormat="false" ht="15" hidden="false" customHeight="true" outlineLevel="0" collapsed="false">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ustomFormat="false" ht="15" hidden="false" customHeight="true" outlineLevel="0" collapsed="false">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ustomFormat="false" ht="15" hidden="false" customHeight="true" outlineLevel="0" collapsed="false">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ustomFormat="false" ht="15" hidden="false" customHeight="true" outlineLevel="0" collapsed="false">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ustomFormat="false" ht="15" hidden="false" customHeight="true" outlineLevel="0" collapsed="false">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ustomFormat="false" ht="15" hidden="false" customHeight="true" outlineLevel="0" collapsed="false">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ustomFormat="false" ht="15" hidden="false" customHeight="true" outlineLevel="0" collapsed="false">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ustomFormat="false" ht="15" hidden="false" customHeight="true" outlineLevel="0" collapsed="false">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ustomFormat="false" ht="15" hidden="false" customHeight="true" outlineLevel="0" collapsed="false">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ustomFormat="false" ht="15" hidden="false" customHeight="true" outlineLevel="0" collapsed="false">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ustomFormat="false" ht="15" hidden="false" customHeight="true" outlineLevel="0" collapsed="false">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ustomFormat="false" ht="15" hidden="false" customHeight="true" outlineLevel="0" collapsed="false">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ustomFormat="false" ht="15" hidden="false" customHeight="true" outlineLevel="0" collapsed="false">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ustomFormat="false" ht="15" hidden="false" customHeight="true" outlineLevel="0" collapsed="false">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ustomFormat="false" ht="15" hidden="false" customHeight="true" outlineLevel="0" collapsed="false">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ustomFormat="false" ht="15" hidden="false" customHeight="true" outlineLevel="0" collapsed="false">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ustomFormat="false" ht="15" hidden="false" customHeight="true" outlineLevel="0" collapsed="false">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ustomFormat="false" ht="15" hidden="false" customHeight="true" outlineLevel="0" collapsed="false">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ustomFormat="false" ht="15" hidden="false" customHeight="true" outlineLevel="0" collapsed="false">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ustomFormat="false" ht="15" hidden="false" customHeight="true" outlineLevel="0" collapsed="false">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ustomFormat="false" ht="15" hidden="false" customHeight="true" outlineLevel="0" collapsed="false">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ustomFormat="false" ht="15" hidden="false" customHeight="true" outlineLevel="0" collapsed="false">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ustomFormat="false" ht="15" hidden="false" customHeight="true" outlineLevel="0" collapsed="false">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ustomFormat="false" ht="15" hidden="false" customHeight="true" outlineLevel="0" collapsed="false">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ustomFormat="false" ht="15" hidden="false" customHeight="true" outlineLevel="0" collapsed="false">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ustomFormat="false" ht="15" hidden="false" customHeight="true" outlineLevel="0" collapsed="false">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ustomFormat="false" ht="15" hidden="false" customHeight="true" outlineLevel="0" collapsed="false">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ustomFormat="false" ht="15" hidden="false" customHeight="true" outlineLevel="0" collapsed="false">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ustomFormat="false" ht="15" hidden="false" customHeight="true" outlineLevel="0" collapsed="false">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ustomFormat="false" ht="15" hidden="false" customHeight="true" outlineLevel="0" collapsed="false">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ustomFormat="false" ht="15" hidden="false" customHeight="true" outlineLevel="0" collapsed="false">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ustomFormat="false" ht="15" hidden="false" customHeight="true" outlineLevel="0" collapsed="false">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ustomFormat="false" ht="15" hidden="false" customHeight="true" outlineLevel="0" collapsed="false">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ustomFormat="false" ht="15" hidden="false" customHeight="true" outlineLevel="0" collapsed="false">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ustomFormat="false" ht="15" hidden="false" customHeight="true" outlineLevel="0" collapsed="false">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ustomFormat="false" ht="15" hidden="false" customHeight="true" outlineLevel="0" collapsed="false">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ustomFormat="false" ht="15" hidden="false" customHeight="true" outlineLevel="0" collapsed="false">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ustomFormat="false" ht="15" hidden="false" customHeight="true" outlineLevel="0" collapsed="false">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ustomFormat="false" ht="15" hidden="false" customHeight="true" outlineLevel="0" collapsed="false">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ustomFormat="false" ht="15" hidden="false" customHeight="true" outlineLevel="0" collapsed="false">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ustomFormat="false" ht="15" hidden="false" customHeight="true" outlineLevel="0" collapsed="false">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ustomFormat="false" ht="15" hidden="false" customHeight="true" outlineLevel="0" collapsed="false">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ustomFormat="false" ht="15" hidden="false" customHeight="true" outlineLevel="0" collapsed="false">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ustomFormat="false" ht="15" hidden="false" customHeight="true" outlineLevel="0" collapsed="false">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ustomFormat="false" ht="15" hidden="false" customHeight="true" outlineLevel="0" collapsed="false">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ustomFormat="false" ht="15" hidden="false" customHeight="true" outlineLevel="0" collapsed="false">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ustomFormat="false" ht="15" hidden="false" customHeight="true" outlineLevel="0" collapsed="false">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ustomFormat="false" ht="15" hidden="false" customHeight="true" outlineLevel="0" collapsed="false">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ustomFormat="false" ht="15" hidden="false" customHeight="true" outlineLevel="0" collapsed="false">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ustomFormat="false" ht="15" hidden="false" customHeight="true" outlineLevel="0" collapsed="false">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ustomFormat="false" ht="15" hidden="false" customHeight="true" outlineLevel="0" collapsed="false">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ustomFormat="false" ht="15" hidden="false" customHeight="true" outlineLevel="0" collapsed="false">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ustomFormat="false" ht="15" hidden="false" customHeight="true" outlineLevel="0" collapsed="false">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ustomFormat="false" ht="15" hidden="false" customHeight="true" outlineLevel="0" collapsed="false">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ustomFormat="false" ht="15" hidden="false" customHeight="true" outlineLevel="0" collapsed="false">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ustomFormat="false" ht="15" hidden="false" customHeight="true" outlineLevel="0" collapsed="false">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ustomFormat="false" ht="15" hidden="false" customHeight="true" outlineLevel="0" collapsed="false">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ustomFormat="false" ht="15" hidden="false" customHeight="true" outlineLevel="0" collapsed="false">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ustomFormat="false" ht="15" hidden="false" customHeight="true" outlineLevel="0" collapsed="false">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ustomFormat="false" ht="15" hidden="false" customHeight="true" outlineLevel="0" collapsed="false">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ustomFormat="false" ht="15" hidden="false" customHeight="true" outlineLevel="0" collapsed="false">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ustomFormat="false" ht="15" hidden="false" customHeight="true" outlineLevel="0" collapsed="false">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ustomFormat="false" ht="15" hidden="false" customHeight="true" outlineLevel="0" collapsed="false">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ustomFormat="false" ht="15" hidden="false" customHeight="true" outlineLevel="0" collapsed="false">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ustomFormat="false" ht="15" hidden="false" customHeight="true" outlineLevel="0" collapsed="false">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ustomFormat="false" ht="15" hidden="false" customHeight="true" outlineLevel="0" collapsed="false">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ustomFormat="false" ht="15" hidden="false" customHeight="true" outlineLevel="0" collapsed="false">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ustomFormat="false" ht="15" hidden="false" customHeight="true" outlineLevel="0" collapsed="false">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ustomFormat="false" ht="15" hidden="false" customHeight="true" outlineLevel="0" collapsed="false">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ustomFormat="false" ht="15" hidden="false" customHeight="true" outlineLevel="0" collapsed="false">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ustomFormat="false" ht="15" hidden="false" customHeight="true" outlineLevel="0" collapsed="false">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ustomFormat="false" ht="15" hidden="false" customHeight="true" outlineLevel="0" collapsed="false">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ustomFormat="false" ht="15" hidden="false" customHeight="true" outlineLevel="0" collapsed="false">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ustomFormat="false" ht="15" hidden="false" customHeight="true" outlineLevel="0" collapsed="false">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ustomFormat="false" ht="15" hidden="false" customHeight="true" outlineLevel="0" collapsed="false">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ustomFormat="false" ht="15" hidden="false" customHeight="true" outlineLevel="0" collapsed="false">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ustomFormat="false" ht="15" hidden="false" customHeight="true" outlineLevel="0" collapsed="false">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ustomFormat="false" ht="15" hidden="false" customHeight="true" outlineLevel="0" collapsed="false">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ustomFormat="false" ht="15" hidden="false" customHeight="true" outlineLevel="0" collapsed="false">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ustomFormat="false" ht="15" hidden="false" customHeight="true" outlineLevel="0" collapsed="false">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ustomFormat="false" ht="15" hidden="false" customHeight="true" outlineLevel="0" collapsed="false">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ustomFormat="false" ht="15" hidden="false" customHeight="true" outlineLevel="0" collapsed="false">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ustomFormat="false" ht="15" hidden="false" customHeight="true" outlineLevel="0" collapsed="false">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ustomFormat="false" ht="15" hidden="false" customHeight="true" outlineLevel="0" collapsed="false">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ustomFormat="false" ht="15" hidden="false" customHeight="true" outlineLevel="0" collapsed="false">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ustomFormat="false" ht="15" hidden="false" customHeight="true" outlineLevel="0" collapsed="false">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ustomFormat="false" ht="15" hidden="false" customHeight="true" outlineLevel="0" collapsed="false">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ustomFormat="false" ht="15" hidden="false" customHeight="true" outlineLevel="0" collapsed="false">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ustomFormat="false" ht="15" hidden="false" customHeight="true" outlineLevel="0" collapsed="false">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ustomFormat="false" ht="15" hidden="false" customHeight="true" outlineLevel="0" collapsed="false">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ustomFormat="false" ht="15" hidden="false" customHeight="true" outlineLevel="0" collapsed="false">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ustomFormat="false" ht="15" hidden="false" customHeight="true" outlineLevel="0" collapsed="false">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ustomFormat="false" ht="15" hidden="false" customHeight="true" outlineLevel="0" collapsed="false">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ustomFormat="false" ht="15" hidden="false" customHeight="true" outlineLevel="0" collapsed="false">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ustomFormat="false" ht="15" hidden="false" customHeight="true" outlineLevel="0" collapsed="false">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ustomFormat="false" ht="15" hidden="false" customHeight="true" outlineLevel="0" collapsed="false">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ustomFormat="false" ht="15" hidden="false" customHeight="true" outlineLevel="0" collapsed="false">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ustomFormat="false" ht="15" hidden="false" customHeight="true" outlineLevel="0" collapsed="false">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ustomFormat="false" ht="15" hidden="false" customHeight="true" outlineLevel="0" collapsed="false">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ustomFormat="false" ht="15" hidden="false" customHeight="true" outlineLevel="0" collapsed="false">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ustomFormat="false" ht="15" hidden="false" customHeight="true" outlineLevel="0" collapsed="false">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ustomFormat="false" ht="15" hidden="false" customHeight="true" outlineLevel="0" collapsed="false">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ustomFormat="false" ht="15" hidden="false" customHeight="true" outlineLevel="0" collapsed="false">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ustomFormat="false" ht="15" hidden="false" customHeight="true" outlineLevel="0" collapsed="false">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ustomFormat="false" ht="15" hidden="false" customHeight="true" outlineLevel="0" collapsed="false">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ustomFormat="false" ht="15" hidden="false" customHeight="true" outlineLevel="0" collapsed="false">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ustomFormat="false" ht="15" hidden="false" customHeight="true" outlineLevel="0" collapsed="false">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ustomFormat="false" ht="15" hidden="false" customHeight="true" outlineLevel="0" collapsed="false">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ustomFormat="false" ht="15" hidden="false" customHeight="true" outlineLevel="0" collapsed="false">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ustomFormat="false" ht="15" hidden="false" customHeight="true" outlineLevel="0" collapsed="false">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ustomFormat="false" ht="15" hidden="false" customHeight="true" outlineLevel="0" collapsed="false">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ustomFormat="false" ht="15" hidden="false" customHeight="true" outlineLevel="0" collapsed="false">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ustomFormat="false" ht="15" hidden="false" customHeight="true" outlineLevel="0" collapsed="false">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ustomFormat="false" ht="15" hidden="false" customHeight="true" outlineLevel="0" collapsed="false">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ustomFormat="false" ht="15" hidden="false" customHeight="true" outlineLevel="0" collapsed="false">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ustomFormat="false" ht="15" hidden="false" customHeight="true" outlineLevel="0" collapsed="false">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ustomFormat="false" ht="15" hidden="false" customHeight="true" outlineLevel="0" collapsed="false">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ustomFormat="false" ht="15" hidden="false" customHeight="true" outlineLevel="0" collapsed="false">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ustomFormat="false" ht="15" hidden="false" customHeight="true" outlineLevel="0" collapsed="false">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ustomFormat="false" ht="15" hidden="false" customHeight="true" outlineLevel="0" collapsed="false">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ustomFormat="false" ht="15" hidden="false" customHeight="true" outlineLevel="0" collapsed="false">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ustomFormat="false" ht="15" hidden="false" customHeight="true" outlineLevel="0" collapsed="false">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ustomFormat="false" ht="15" hidden="false" customHeight="true" outlineLevel="0" collapsed="false">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ustomFormat="false" ht="15" hidden="false" customHeight="true" outlineLevel="0" collapsed="false">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ustomFormat="false" ht="15" hidden="false" customHeight="true" outlineLevel="0" collapsed="false">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ustomFormat="false" ht="15" hidden="false" customHeight="true" outlineLevel="0" collapsed="false">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ustomFormat="false" ht="15" hidden="false" customHeight="true" outlineLevel="0" collapsed="false">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ustomFormat="false" ht="15" hidden="false" customHeight="true" outlineLevel="0" collapsed="false">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ustomFormat="false" ht="15" hidden="false" customHeight="true" outlineLevel="0" collapsed="false">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ustomFormat="false" ht="15" hidden="false" customHeight="true" outlineLevel="0" collapsed="false">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ustomFormat="false" ht="15" hidden="false" customHeight="true" outlineLevel="0" collapsed="false">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ustomFormat="false" ht="15" hidden="false" customHeight="true" outlineLevel="0" collapsed="false">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ustomFormat="false" ht="15" hidden="false" customHeight="true" outlineLevel="0" collapsed="false">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ustomFormat="false" ht="15" hidden="false" customHeight="true" outlineLevel="0" collapsed="false">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ustomFormat="false" ht="15" hidden="false" customHeight="true" outlineLevel="0" collapsed="false">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ustomFormat="false" ht="15" hidden="false" customHeight="true" outlineLevel="0" collapsed="false">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ustomFormat="false" ht="15" hidden="false" customHeight="true" outlineLevel="0" collapsed="false">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ustomFormat="false" ht="15" hidden="false" customHeight="true" outlineLevel="0" collapsed="false">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ustomFormat="false" ht="15" hidden="false" customHeight="true" outlineLevel="0" collapsed="false">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ustomFormat="false" ht="15" hidden="false" customHeight="true" outlineLevel="0" collapsed="false">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ustomFormat="false" ht="15" hidden="false" customHeight="true" outlineLevel="0" collapsed="false">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ustomFormat="false" ht="15" hidden="false" customHeight="true" outlineLevel="0" collapsed="false">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ustomFormat="false" ht="15" hidden="false" customHeight="true" outlineLevel="0" collapsed="false">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ustomFormat="false" ht="15" hidden="false" customHeight="true" outlineLevel="0" collapsed="false">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ustomFormat="false" ht="15" hidden="false" customHeight="true" outlineLevel="0" collapsed="false">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ustomFormat="false" ht="15" hidden="false" customHeight="true" outlineLevel="0" collapsed="false">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ustomFormat="false" ht="15" hidden="false" customHeight="true" outlineLevel="0" collapsed="false">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ustomFormat="false" ht="15" hidden="false" customHeight="true" outlineLevel="0" collapsed="false">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ustomFormat="false" ht="15" hidden="false" customHeight="true" outlineLevel="0" collapsed="false">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ustomFormat="false" ht="15" hidden="false" customHeight="true" outlineLevel="0" collapsed="false">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ustomFormat="false" ht="15" hidden="false" customHeight="true" outlineLevel="0" collapsed="false">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ustomFormat="false" ht="15" hidden="false" customHeight="true" outlineLevel="0" collapsed="false">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ustomFormat="false" ht="15" hidden="false" customHeight="true" outlineLevel="0" collapsed="false">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ustomFormat="false" ht="15" hidden="false" customHeight="true" outlineLevel="0" collapsed="false">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ustomFormat="false" ht="15" hidden="false" customHeight="true" outlineLevel="0" collapsed="false">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ustomFormat="false" ht="15" hidden="false" customHeight="true" outlineLevel="0" collapsed="false">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ustomFormat="false" ht="15" hidden="false" customHeight="true" outlineLevel="0" collapsed="false">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ustomFormat="false" ht="15" hidden="false" customHeight="true" outlineLevel="0" collapsed="false">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ustomFormat="false" ht="15" hidden="false" customHeight="true" outlineLevel="0" collapsed="false">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ustomFormat="false" ht="15" hidden="false" customHeight="true" outlineLevel="0" collapsed="false">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ustomFormat="false" ht="15" hidden="false" customHeight="true" outlineLevel="0" collapsed="false">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ustomFormat="false" ht="15" hidden="false" customHeight="true" outlineLevel="0" collapsed="false">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ustomFormat="false" ht="15" hidden="false" customHeight="true" outlineLevel="0" collapsed="false">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ustomFormat="false" ht="15" hidden="false" customHeight="true" outlineLevel="0" collapsed="false">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ustomFormat="false" ht="15" hidden="false" customHeight="true" outlineLevel="0" collapsed="false">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ustomFormat="false" ht="15" hidden="false" customHeight="true" outlineLevel="0" collapsed="false">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ustomFormat="false" ht="15" hidden="false" customHeight="true" outlineLevel="0" collapsed="false">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ustomFormat="false" ht="15" hidden="false" customHeight="true" outlineLevel="0" collapsed="false">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ustomFormat="false" ht="15" hidden="false" customHeight="true" outlineLevel="0" collapsed="false">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ustomFormat="false" ht="15" hidden="false" customHeight="true" outlineLevel="0" collapsed="false">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ustomFormat="false" ht="15" hidden="false" customHeight="true" outlineLevel="0" collapsed="false">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ustomFormat="false" ht="15" hidden="false" customHeight="true" outlineLevel="0" collapsed="false">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ustomFormat="false" ht="15" hidden="false" customHeight="true" outlineLevel="0" collapsed="false">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ustomFormat="false" ht="15" hidden="false" customHeight="true" outlineLevel="0" collapsed="false">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ustomFormat="false" ht="15" hidden="false" customHeight="true" outlineLevel="0" collapsed="false">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ustomFormat="false" ht="15" hidden="false" customHeight="true" outlineLevel="0" collapsed="false">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ustomFormat="false" ht="15" hidden="false" customHeight="true" outlineLevel="0" collapsed="false">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ustomFormat="false" ht="15" hidden="false" customHeight="true" outlineLevel="0" collapsed="false">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ustomFormat="false" ht="15" hidden="false" customHeight="true" outlineLevel="0" collapsed="false">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ustomFormat="false" ht="15" hidden="false" customHeight="true" outlineLevel="0" collapsed="false">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ustomFormat="false" ht="15" hidden="false" customHeight="true" outlineLevel="0" collapsed="false">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ustomFormat="false" ht="15" hidden="false" customHeight="true" outlineLevel="0" collapsed="false">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ustomFormat="false" ht="15" hidden="false" customHeight="true" outlineLevel="0" collapsed="false">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ustomFormat="false" ht="15" hidden="false" customHeight="true" outlineLevel="0" collapsed="false">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ustomFormat="false" ht="15" hidden="false" customHeight="true" outlineLevel="0" collapsed="false">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ustomFormat="false" ht="15" hidden="false" customHeight="true" outlineLevel="0" collapsed="false">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ustomFormat="false" ht="15" hidden="false" customHeight="true" outlineLevel="0" collapsed="false">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ustomFormat="false" ht="15" hidden="false" customHeight="true" outlineLevel="0" collapsed="false">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ustomFormat="false" ht="15" hidden="false" customHeight="true" outlineLevel="0" collapsed="false">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ustomFormat="false" ht="15" hidden="false" customHeight="true" outlineLevel="0" collapsed="false">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ustomFormat="false" ht="15" hidden="false" customHeight="true" outlineLevel="0" collapsed="false">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ustomFormat="false" ht="15" hidden="false" customHeight="true" outlineLevel="0" collapsed="false">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ustomFormat="false" ht="15" hidden="false" customHeight="true" outlineLevel="0" collapsed="false">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ustomFormat="false" ht="15" hidden="false" customHeight="true" outlineLevel="0" collapsed="false">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ustomFormat="false" ht="15" hidden="false" customHeight="true" outlineLevel="0" collapsed="false">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ustomFormat="false" ht="15" hidden="false" customHeight="true" outlineLevel="0" collapsed="false">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ustomFormat="false" ht="15" hidden="false" customHeight="true" outlineLevel="0" collapsed="false">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ustomFormat="false" ht="15" hidden="false" customHeight="true" outlineLevel="0" collapsed="false">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ustomFormat="false" ht="15" hidden="false" customHeight="true" outlineLevel="0" collapsed="false">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ustomFormat="false" ht="15" hidden="false" customHeight="true" outlineLevel="0" collapsed="false">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ustomFormat="false" ht="15" hidden="false" customHeight="true" outlineLevel="0" collapsed="false">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ustomFormat="false" ht="15" hidden="false" customHeight="true" outlineLevel="0" collapsed="false">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ustomFormat="false" ht="15" hidden="false" customHeight="true" outlineLevel="0" collapsed="false">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ustomFormat="false" ht="15" hidden="false" customHeight="true" outlineLevel="0" collapsed="false">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ustomFormat="false" ht="15" hidden="false" customHeight="true" outlineLevel="0" collapsed="false">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ustomFormat="false" ht="15" hidden="false" customHeight="true" outlineLevel="0" collapsed="false">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ustomFormat="false" ht="15" hidden="false" customHeight="true" outlineLevel="0" collapsed="false">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ustomFormat="false" ht="15" hidden="false" customHeight="true" outlineLevel="0" collapsed="false">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ustomFormat="false" ht="15" hidden="false" customHeight="true" outlineLevel="0" collapsed="false">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ustomFormat="false" ht="15" hidden="false" customHeight="true" outlineLevel="0" collapsed="false">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ustomFormat="false" ht="15" hidden="false" customHeight="true" outlineLevel="0" collapsed="false">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ustomFormat="false" ht="15" hidden="false" customHeight="true" outlineLevel="0" collapsed="false">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ustomFormat="false" ht="15" hidden="false" customHeight="true" outlineLevel="0" collapsed="false">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ustomFormat="false" ht="15" hidden="false" customHeight="true" outlineLevel="0" collapsed="false">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ustomFormat="false" ht="15" hidden="false" customHeight="true" outlineLevel="0" collapsed="false">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ustomFormat="false" ht="15" hidden="false" customHeight="true" outlineLevel="0" collapsed="false">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ustomFormat="false" ht="15" hidden="false" customHeight="true" outlineLevel="0" collapsed="false">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ustomFormat="false" ht="15" hidden="false" customHeight="true" outlineLevel="0" collapsed="false">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ustomFormat="false" ht="15" hidden="false" customHeight="true" outlineLevel="0" collapsed="false">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ustomFormat="false" ht="15" hidden="false" customHeight="true" outlineLevel="0" collapsed="false">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ustomFormat="false" ht="15" hidden="false" customHeight="true" outlineLevel="0" collapsed="false">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ustomFormat="false" ht="15" hidden="false" customHeight="true" outlineLevel="0" collapsed="false">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ustomFormat="false" ht="15" hidden="false" customHeight="true" outlineLevel="0" collapsed="false">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ustomFormat="false" ht="15" hidden="false" customHeight="true" outlineLevel="0" collapsed="false">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ustomFormat="false" ht="15" hidden="false" customHeight="true" outlineLevel="0" collapsed="false">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ustomFormat="false" ht="15" hidden="false" customHeight="true" outlineLevel="0" collapsed="false">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ustomFormat="false" ht="15" hidden="false" customHeight="true" outlineLevel="0" collapsed="false">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ustomFormat="false" ht="15" hidden="false" customHeight="true" outlineLevel="0" collapsed="false">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ustomFormat="false" ht="15" hidden="false" customHeight="true" outlineLevel="0" collapsed="false">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ustomFormat="false" ht="15" hidden="false" customHeight="true" outlineLevel="0" collapsed="false">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ustomFormat="false" ht="15" hidden="false" customHeight="true" outlineLevel="0" collapsed="false">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ustomFormat="false" ht="15" hidden="false" customHeight="true" outlineLevel="0" collapsed="false">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ustomFormat="false" ht="15" hidden="false" customHeight="true" outlineLevel="0" collapsed="false">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ustomFormat="false" ht="15" hidden="false" customHeight="true" outlineLevel="0" collapsed="false">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ustomFormat="false" ht="15" hidden="false" customHeight="true" outlineLevel="0" collapsed="false">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ustomFormat="false" ht="15" hidden="false" customHeight="true" outlineLevel="0" collapsed="false">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ustomFormat="false" ht="15" hidden="false" customHeight="true" outlineLevel="0" collapsed="false">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ustomFormat="false" ht="15" hidden="false" customHeight="true" outlineLevel="0" collapsed="false">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ustomFormat="false" ht="15" hidden="false" customHeight="true" outlineLevel="0" collapsed="false">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ustomFormat="false" ht="15" hidden="false" customHeight="true" outlineLevel="0" collapsed="false">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ustomFormat="false" ht="15" hidden="false" customHeight="true" outlineLevel="0" collapsed="false">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ustomFormat="false" ht="15" hidden="false" customHeight="true" outlineLevel="0" collapsed="false">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ustomFormat="false" ht="15" hidden="false" customHeight="true" outlineLevel="0" collapsed="false">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ustomFormat="false" ht="15" hidden="false" customHeight="true" outlineLevel="0" collapsed="false">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ustomFormat="false" ht="15" hidden="false" customHeight="true" outlineLevel="0" collapsed="false">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ustomFormat="false" ht="15" hidden="false" customHeight="true" outlineLevel="0" collapsed="false">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ustomFormat="false" ht="15" hidden="false" customHeight="true" outlineLevel="0" collapsed="false">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ustomFormat="false" ht="15" hidden="false" customHeight="true" outlineLevel="0" collapsed="false">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ustomFormat="false" ht="15" hidden="false" customHeight="true" outlineLevel="0" collapsed="false">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ustomFormat="false" ht="15" hidden="false" customHeight="true" outlineLevel="0" collapsed="false">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ustomFormat="false" ht="15" hidden="false" customHeight="true" outlineLevel="0" collapsed="false">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ustomFormat="false" ht="15" hidden="false" customHeight="true" outlineLevel="0" collapsed="false">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ustomFormat="false" ht="15" hidden="false" customHeight="true" outlineLevel="0" collapsed="false">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ustomFormat="false" ht="15" hidden="false" customHeight="true" outlineLevel="0" collapsed="false">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ustomFormat="false" ht="15" hidden="false" customHeight="true" outlineLevel="0" collapsed="false">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ustomFormat="false" ht="15" hidden="false" customHeight="true" outlineLevel="0" collapsed="false">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ustomFormat="false" ht="15" hidden="false" customHeight="true" outlineLevel="0" collapsed="false">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ustomFormat="false" ht="15" hidden="false" customHeight="true" outlineLevel="0" collapsed="false">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ustomFormat="false" ht="15" hidden="false" customHeight="true" outlineLevel="0" collapsed="false">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ustomFormat="false" ht="15" hidden="false" customHeight="true" outlineLevel="0" collapsed="false">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ustomFormat="false" ht="15" hidden="false" customHeight="true" outlineLevel="0" collapsed="false">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ustomFormat="false" ht="15" hidden="false" customHeight="true" outlineLevel="0" collapsed="false">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ustomFormat="false" ht="15" hidden="false" customHeight="true" outlineLevel="0" collapsed="false">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ustomFormat="false" ht="15" hidden="false" customHeight="true" outlineLevel="0" collapsed="false">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ustomFormat="false" ht="15" hidden="false" customHeight="true" outlineLevel="0" collapsed="false">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ustomFormat="false" ht="15" hidden="false" customHeight="true" outlineLevel="0" collapsed="false">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ustomFormat="false" ht="15" hidden="false" customHeight="true" outlineLevel="0" collapsed="false">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ustomFormat="false" ht="15" hidden="false" customHeight="true" outlineLevel="0" collapsed="false">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ustomFormat="false" ht="15" hidden="false" customHeight="true" outlineLevel="0" collapsed="false">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ustomFormat="false" ht="15" hidden="false" customHeight="true" outlineLevel="0" collapsed="false">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ustomFormat="false" ht="15" hidden="false" customHeight="true" outlineLevel="0" collapsed="false">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ustomFormat="false" ht="15" hidden="false" customHeight="true" outlineLevel="0" collapsed="false">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ustomFormat="false" ht="15" hidden="false" customHeight="true" outlineLevel="0" collapsed="false">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ustomFormat="false" ht="15" hidden="false" customHeight="true" outlineLevel="0" collapsed="false">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ustomFormat="false" ht="15" hidden="false" customHeight="true" outlineLevel="0" collapsed="false">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ustomFormat="false" ht="15" hidden="false" customHeight="true" outlineLevel="0" collapsed="false">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ustomFormat="false" ht="15" hidden="false" customHeight="true" outlineLevel="0" collapsed="false">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ustomFormat="false" ht="15" hidden="false" customHeight="true" outlineLevel="0" collapsed="false">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ustomFormat="false" ht="15" hidden="false" customHeight="true" outlineLevel="0" collapsed="false">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ustomFormat="false" ht="15" hidden="false" customHeight="true" outlineLevel="0" collapsed="false">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ustomFormat="false" ht="15" hidden="false" customHeight="true" outlineLevel="0" collapsed="false">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ustomFormat="false" ht="15" hidden="false" customHeight="true" outlineLevel="0" collapsed="false">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ustomFormat="false" ht="15" hidden="false" customHeight="true" outlineLevel="0" collapsed="false">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ustomFormat="false" ht="15" hidden="false" customHeight="true" outlineLevel="0" collapsed="false">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ustomFormat="false" ht="15" hidden="false" customHeight="true" outlineLevel="0" collapsed="false">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ustomFormat="false" ht="15" hidden="false" customHeight="true" outlineLevel="0" collapsed="false">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ustomFormat="false" ht="15" hidden="false" customHeight="true" outlineLevel="0" collapsed="false">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ustomFormat="false" ht="15" hidden="false" customHeight="true" outlineLevel="0" collapsed="false">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ustomFormat="false" ht="15" hidden="false" customHeight="true" outlineLevel="0" collapsed="false">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ustomFormat="false" ht="15" hidden="false" customHeight="true" outlineLevel="0" collapsed="false">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ustomFormat="false" ht="15" hidden="false" customHeight="true" outlineLevel="0" collapsed="false">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ustomFormat="false" ht="15" hidden="false" customHeight="true" outlineLevel="0" collapsed="false">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ustomFormat="false" ht="15" hidden="false" customHeight="true" outlineLevel="0" collapsed="false">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ustomFormat="false" ht="15" hidden="false" customHeight="true" outlineLevel="0" collapsed="false">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ustomFormat="false" ht="15" hidden="false" customHeight="true" outlineLevel="0" collapsed="false">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ustomFormat="false" ht="15" hidden="false" customHeight="true" outlineLevel="0" collapsed="false">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ustomFormat="false" ht="15" hidden="false" customHeight="true" outlineLevel="0" collapsed="false">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ustomFormat="false" ht="15" hidden="false" customHeight="true" outlineLevel="0" collapsed="false">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ustomFormat="false" ht="15" hidden="false" customHeight="true" outlineLevel="0" collapsed="false">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ustomFormat="false" ht="15" hidden="false" customHeight="true" outlineLevel="0" collapsed="false">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ustomFormat="false" ht="15" hidden="false" customHeight="true" outlineLevel="0" collapsed="false">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ustomFormat="false" ht="15" hidden="false" customHeight="true" outlineLevel="0" collapsed="false">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ustomFormat="false" ht="15" hidden="false" customHeight="true" outlineLevel="0" collapsed="false">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ustomFormat="false" ht="15" hidden="false" customHeight="true" outlineLevel="0" collapsed="false">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ustomFormat="false" ht="15" hidden="false" customHeight="true" outlineLevel="0" collapsed="false">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ustomFormat="false" ht="15" hidden="false" customHeight="true" outlineLevel="0" collapsed="false">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ustomFormat="false" ht="15" hidden="false" customHeight="true" outlineLevel="0" collapsed="false">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ustomFormat="false" ht="15" hidden="false" customHeight="true" outlineLevel="0" collapsed="false">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ustomFormat="false" ht="15" hidden="false" customHeight="true" outlineLevel="0" collapsed="false">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ustomFormat="false" ht="15" hidden="false" customHeight="true" outlineLevel="0" collapsed="false">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ustomFormat="false" ht="15" hidden="false" customHeight="true" outlineLevel="0" collapsed="false">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ustomFormat="false" ht="15" hidden="false" customHeight="true" outlineLevel="0" collapsed="false">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ustomFormat="false" ht="15" hidden="false" customHeight="true" outlineLevel="0" collapsed="false">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ustomFormat="false" ht="15" hidden="false" customHeight="true" outlineLevel="0" collapsed="false">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ustomFormat="false" ht="15" hidden="false" customHeight="true" outlineLevel="0" collapsed="false">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ustomFormat="false" ht="15" hidden="false" customHeight="true" outlineLevel="0" collapsed="false">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ustomFormat="false" ht="15" hidden="false" customHeight="true" outlineLevel="0" collapsed="false">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ustomFormat="false" ht="15" hidden="false" customHeight="true" outlineLevel="0" collapsed="false">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ustomFormat="false" ht="15" hidden="false" customHeight="true" outlineLevel="0" collapsed="false">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ustomFormat="false" ht="15" hidden="false" customHeight="true" outlineLevel="0" collapsed="false">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ustomFormat="false" ht="15" hidden="false" customHeight="true" outlineLevel="0" collapsed="false">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ustomFormat="false" ht="15" hidden="false" customHeight="true" outlineLevel="0" collapsed="false">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ustomFormat="false" ht="15" hidden="false" customHeight="true" outlineLevel="0" collapsed="false">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ustomFormat="false" ht="15" hidden="false" customHeight="true" outlineLevel="0" collapsed="false">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ustomFormat="false" ht="15" hidden="false" customHeight="true" outlineLevel="0" collapsed="false">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ustomFormat="false" ht="15" hidden="false" customHeight="true" outlineLevel="0" collapsed="false">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ustomFormat="false" ht="15" hidden="false" customHeight="true" outlineLevel="0" collapsed="false">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ustomFormat="false" ht="15" hidden="false" customHeight="true" outlineLevel="0" collapsed="false">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ustomFormat="false" ht="15" hidden="false" customHeight="true" outlineLevel="0" collapsed="false">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ustomFormat="false" ht="15" hidden="false" customHeight="true" outlineLevel="0" collapsed="false">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ustomFormat="false" ht="15" hidden="false" customHeight="true" outlineLevel="0" collapsed="false">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ustomFormat="false" ht="15" hidden="false" customHeight="true" outlineLevel="0" collapsed="false">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ustomFormat="false" ht="15" hidden="false" customHeight="true" outlineLevel="0" collapsed="false">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ustomFormat="false" ht="15" hidden="false" customHeight="true" outlineLevel="0" collapsed="false">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ustomFormat="false" ht="15" hidden="false" customHeight="true" outlineLevel="0" collapsed="false">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ustomFormat="false" ht="15" hidden="false" customHeight="true" outlineLevel="0" collapsed="false">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ustomFormat="false" ht="15" hidden="false" customHeight="true" outlineLevel="0" collapsed="false">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ustomFormat="false" ht="15" hidden="false" customHeight="true" outlineLevel="0" collapsed="false">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ustomFormat="false" ht="15" hidden="false" customHeight="true" outlineLevel="0" collapsed="false">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ustomFormat="false" ht="15" hidden="false" customHeight="true" outlineLevel="0" collapsed="false">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ustomFormat="false" ht="15" hidden="false" customHeight="true" outlineLevel="0" collapsed="false">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ustomFormat="false" ht="15" hidden="false" customHeight="true" outlineLevel="0" collapsed="false">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ustomFormat="false" ht="15" hidden="false" customHeight="true" outlineLevel="0" collapsed="false">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ustomFormat="false" ht="15" hidden="false" customHeight="true" outlineLevel="0" collapsed="false">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ustomFormat="false" ht="15" hidden="false" customHeight="true" outlineLevel="0" collapsed="false">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ustomFormat="false" ht="15" hidden="false" customHeight="true" outlineLevel="0" collapsed="false">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sheetData>
  <mergeCells count="27">
    <mergeCell ref="B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&amp;R&amp;"Courier New,Regular"&amp;10 &amp;K0078d7#مقيد – عام</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A3A5"/>
    <pageSetUpPr fitToPage="false"/>
  </sheetPr>
  <dimension ref="A1:AP990"/>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1" topLeftCell="A16" activePane="bottomLeft" state="frozen"/>
      <selection pane="topLeft" activeCell="A1" activeCellId="0" sqref="A1"/>
      <selection pane="bottomLeft" activeCell="C19" activeCellId="0" sqref="C19"/>
    </sheetView>
  </sheetViews>
  <sheetFormatPr defaultColWidth="14.4453125" defaultRowHeight="15" zeroHeight="false" outlineLevelRow="0" outlineLevelCol="0"/>
  <cols>
    <col collapsed="false" customWidth="true" hidden="false" outlineLevel="0" max="1" min="1" style="28" width="8.88"/>
    <col collapsed="false" customWidth="true" hidden="false" outlineLevel="0" max="25" min="2" style="28" width="18.44"/>
    <col collapsed="false" customWidth="true" hidden="false" outlineLevel="0" max="42" min="26" style="28" width="8.88"/>
    <col collapsed="false" customWidth="false" hidden="false" outlineLevel="0" max="16384" min="43" style="28" width="14.44"/>
  </cols>
  <sheetData>
    <row r="1" customFormat="false" ht="15" hidden="false" customHeight="true" outlineLevel="0" collapsed="false">
      <c r="A1" s="52"/>
      <c r="B1" s="53"/>
      <c r="C1" s="53"/>
      <c r="D1" s="54"/>
      <c r="E1" s="53"/>
      <c r="F1" s="53"/>
      <c r="G1" s="53"/>
      <c r="H1" s="53"/>
      <c r="I1" s="53"/>
      <c r="J1" s="53"/>
      <c r="K1" s="53"/>
      <c r="L1" s="53"/>
      <c r="M1" s="53"/>
      <c r="N1" s="53"/>
      <c r="O1" s="53"/>
      <c r="P1" s="53"/>
      <c r="Q1" s="53"/>
      <c r="R1" s="53"/>
      <c r="S1" s="53"/>
      <c r="T1" s="53"/>
      <c r="U1" s="53"/>
      <c r="V1" s="53"/>
      <c r="W1" s="53"/>
      <c r="X1" s="53"/>
      <c r="Y1" s="53"/>
      <c r="Z1" s="55"/>
      <c r="AA1" s="56"/>
      <c r="AB1" s="56"/>
      <c r="AC1" s="56"/>
      <c r="AD1" s="56"/>
      <c r="AE1" s="56"/>
      <c r="AF1" s="56"/>
      <c r="AG1" s="56"/>
      <c r="AH1" s="56"/>
      <c r="AI1" s="56"/>
      <c r="AJ1" s="56"/>
      <c r="AK1" s="56"/>
      <c r="AL1" s="56"/>
      <c r="AM1" s="56"/>
      <c r="AN1" s="56"/>
      <c r="AO1" s="56"/>
      <c r="AP1" s="56"/>
    </row>
    <row r="2" customFormat="false" ht="15" hidden="false" customHeight="true" outlineLevel="0" collapsed="false">
      <c r="A2" s="57"/>
      <c r="B2" s="58"/>
      <c r="C2" s="58"/>
      <c r="D2" s="58"/>
      <c r="E2" s="58"/>
      <c r="F2" s="58"/>
      <c r="G2" s="58"/>
      <c r="H2" s="58"/>
      <c r="I2" s="58"/>
      <c r="J2" s="58"/>
      <c r="K2" s="58"/>
      <c r="L2" s="58"/>
      <c r="M2" s="58"/>
      <c r="N2" s="58"/>
      <c r="O2" s="58"/>
      <c r="P2" s="58"/>
      <c r="Q2" s="58"/>
      <c r="R2" s="58"/>
      <c r="S2" s="58"/>
      <c r="T2" s="58"/>
      <c r="U2" s="58"/>
      <c r="V2" s="58"/>
      <c r="W2" s="58"/>
      <c r="X2" s="58"/>
      <c r="Y2" s="58"/>
      <c r="Z2" s="59"/>
      <c r="AA2" s="56"/>
      <c r="AB2" s="56"/>
      <c r="AC2" s="56"/>
      <c r="AD2" s="56"/>
      <c r="AE2" s="56"/>
      <c r="AF2" s="56"/>
      <c r="AG2" s="56"/>
      <c r="AH2" s="56"/>
      <c r="AI2" s="56"/>
      <c r="AJ2" s="56"/>
      <c r="AK2" s="56"/>
      <c r="AL2" s="56"/>
      <c r="AM2" s="56"/>
      <c r="AN2" s="56"/>
      <c r="AO2" s="56"/>
      <c r="AP2" s="56"/>
    </row>
    <row r="3" customFormat="false" ht="15" hidden="false" customHeight="true" outlineLevel="0" collapsed="false">
      <c r="A3" s="57"/>
      <c r="B3" s="58"/>
      <c r="C3" s="58"/>
      <c r="D3" s="58"/>
      <c r="E3" s="58"/>
      <c r="F3" s="58"/>
      <c r="G3" s="58"/>
      <c r="H3" s="58"/>
      <c r="I3" s="58"/>
      <c r="J3" s="58"/>
      <c r="K3" s="58"/>
      <c r="L3" s="58"/>
      <c r="M3" s="58"/>
      <c r="N3" s="58"/>
      <c r="O3" s="58"/>
      <c r="P3" s="58"/>
      <c r="Q3" s="58"/>
      <c r="R3" s="58"/>
      <c r="S3" s="58"/>
      <c r="T3" s="58"/>
      <c r="U3" s="58"/>
      <c r="V3" s="58"/>
      <c r="W3" s="58"/>
      <c r="X3" s="58"/>
      <c r="Y3" s="58"/>
      <c r="Z3" s="59"/>
      <c r="AA3" s="56"/>
      <c r="AB3" s="56"/>
      <c r="AC3" s="56"/>
      <c r="AD3" s="56"/>
      <c r="AE3" s="56"/>
      <c r="AF3" s="56"/>
      <c r="AG3" s="56"/>
      <c r="AH3" s="56"/>
      <c r="AI3" s="56"/>
      <c r="AJ3" s="56"/>
      <c r="AK3" s="56"/>
      <c r="AL3" s="56"/>
      <c r="AM3" s="56"/>
      <c r="AN3" s="56"/>
      <c r="AO3" s="56"/>
      <c r="AP3" s="56"/>
    </row>
    <row r="4" customFormat="false" ht="15" hidden="false" customHeight="true" outlineLevel="0" collapsed="false">
      <c r="A4" s="57"/>
      <c r="B4" s="58"/>
      <c r="C4" s="58"/>
      <c r="D4" s="58"/>
      <c r="E4" s="58"/>
      <c r="F4" s="58"/>
      <c r="G4" s="58"/>
      <c r="H4" s="58"/>
      <c r="I4" s="58"/>
      <c r="J4" s="58"/>
      <c r="K4" s="58"/>
      <c r="L4" s="58"/>
      <c r="M4" s="58"/>
      <c r="N4" s="58"/>
      <c r="O4" s="58"/>
      <c r="P4" s="58"/>
      <c r="Q4" s="58"/>
      <c r="R4" s="58"/>
      <c r="S4" s="58"/>
      <c r="T4" s="58"/>
      <c r="U4" s="58"/>
      <c r="V4" s="58"/>
      <c r="W4" s="58"/>
      <c r="X4" s="58"/>
      <c r="Y4" s="58"/>
      <c r="Z4" s="59"/>
      <c r="AA4" s="56"/>
      <c r="AB4" s="56"/>
      <c r="AC4" s="56"/>
      <c r="AD4" s="56"/>
      <c r="AE4" s="56"/>
      <c r="AF4" s="56"/>
      <c r="AG4" s="56"/>
      <c r="AH4" s="56"/>
      <c r="AI4" s="56"/>
      <c r="AJ4" s="56"/>
      <c r="AK4" s="56"/>
      <c r="AL4" s="56"/>
      <c r="AM4" s="56"/>
      <c r="AN4" s="56"/>
      <c r="AO4" s="56"/>
      <c r="AP4" s="56"/>
    </row>
    <row r="5" customFormat="false" ht="15" hidden="false" customHeight="true" outlineLevel="0" collapsed="false">
      <c r="A5" s="57"/>
      <c r="B5" s="58"/>
      <c r="C5" s="58"/>
      <c r="D5" s="58"/>
      <c r="E5" s="58"/>
      <c r="F5" s="58"/>
      <c r="G5" s="58"/>
      <c r="H5" s="58"/>
      <c r="I5" s="58"/>
      <c r="J5" s="58"/>
      <c r="K5" s="58"/>
      <c r="L5" s="58"/>
      <c r="M5" s="58"/>
      <c r="N5" s="58"/>
      <c r="O5" s="58"/>
      <c r="P5" s="58"/>
      <c r="Q5" s="58"/>
      <c r="R5" s="58"/>
      <c r="S5" s="58"/>
      <c r="T5" s="58"/>
      <c r="U5" s="58"/>
      <c r="V5" s="58"/>
      <c r="W5" s="58"/>
      <c r="X5" s="58"/>
      <c r="Y5" s="58"/>
      <c r="Z5" s="59"/>
      <c r="AA5" s="56"/>
      <c r="AB5" s="56"/>
      <c r="AC5" s="56"/>
      <c r="AD5" s="56"/>
      <c r="AE5" s="56"/>
      <c r="AF5" s="56"/>
      <c r="AG5" s="56"/>
      <c r="AH5" s="56"/>
      <c r="AI5" s="56"/>
      <c r="AJ5" s="56"/>
      <c r="AK5" s="56"/>
      <c r="AL5" s="56"/>
      <c r="AM5" s="56"/>
      <c r="AN5" s="56"/>
      <c r="AO5" s="56"/>
      <c r="AP5" s="56"/>
    </row>
    <row r="6" customFormat="false" ht="15" hidden="false" customHeight="true" outlineLevel="0" collapsed="false">
      <c r="A6" s="57"/>
      <c r="B6" s="58"/>
      <c r="C6" s="58"/>
      <c r="D6" s="58"/>
      <c r="E6" s="58"/>
      <c r="F6" s="58"/>
      <c r="G6" s="58"/>
      <c r="H6" s="58"/>
      <c r="I6" s="58"/>
      <c r="J6" s="58"/>
      <c r="K6" s="58"/>
      <c r="L6" s="58"/>
      <c r="M6" s="58"/>
      <c r="N6" s="58"/>
      <c r="O6" s="58"/>
      <c r="P6" s="58"/>
      <c r="Q6" s="58"/>
      <c r="R6" s="58"/>
      <c r="S6" s="58"/>
      <c r="T6" s="58"/>
      <c r="U6" s="58"/>
      <c r="V6" s="58"/>
      <c r="W6" s="58"/>
      <c r="X6" s="58"/>
      <c r="Y6" s="58"/>
      <c r="Z6" s="59"/>
      <c r="AA6" s="56"/>
      <c r="AB6" s="56"/>
      <c r="AC6" s="56"/>
      <c r="AD6" s="56"/>
      <c r="AE6" s="56"/>
      <c r="AF6" s="56"/>
      <c r="AG6" s="56"/>
      <c r="AH6" s="56"/>
      <c r="AI6" s="56"/>
      <c r="AJ6" s="56"/>
      <c r="AK6" s="56"/>
      <c r="AL6" s="56"/>
      <c r="AM6" s="56"/>
      <c r="AN6" s="56"/>
      <c r="AO6" s="56"/>
      <c r="AP6" s="56"/>
    </row>
    <row r="7" customFormat="false" ht="15" hidden="false" customHeight="true" outlineLevel="0" collapsed="false">
      <c r="A7" s="57"/>
      <c r="B7" s="58"/>
      <c r="C7" s="58"/>
      <c r="D7" s="58"/>
      <c r="E7" s="58"/>
      <c r="F7" s="58"/>
      <c r="G7" s="58"/>
      <c r="H7" s="58"/>
      <c r="I7" s="58"/>
      <c r="J7" s="58"/>
      <c r="K7" s="58"/>
      <c r="L7" s="58"/>
      <c r="M7" s="58"/>
      <c r="N7" s="58"/>
      <c r="O7" s="58"/>
      <c r="P7" s="58"/>
      <c r="Q7" s="58"/>
      <c r="R7" s="58"/>
      <c r="S7" s="58"/>
      <c r="T7" s="58"/>
      <c r="U7" s="58"/>
      <c r="V7" s="58"/>
      <c r="W7" s="58"/>
      <c r="X7" s="58"/>
      <c r="Y7" s="58"/>
      <c r="Z7" s="59"/>
      <c r="AA7" s="56"/>
      <c r="AB7" s="56"/>
      <c r="AC7" s="56"/>
      <c r="AD7" s="56"/>
      <c r="AE7" s="56"/>
      <c r="AF7" s="56"/>
      <c r="AG7" s="56"/>
      <c r="AH7" s="56"/>
      <c r="AI7" s="56"/>
      <c r="AJ7" s="56"/>
      <c r="AK7" s="56"/>
      <c r="AL7" s="56"/>
      <c r="AM7" s="56"/>
      <c r="AN7" s="56"/>
      <c r="AO7" s="56"/>
      <c r="AP7" s="56"/>
    </row>
    <row r="8" customFormat="false" ht="15" hidden="false" customHeight="true" outlineLevel="0" collapsed="false">
      <c r="A8" s="57"/>
      <c r="B8" s="60" t="str">
        <f aca="false">'Cover Page'!F24</f>
        <v>Confidential</v>
      </c>
      <c r="C8" s="58"/>
      <c r="D8" s="58"/>
      <c r="E8" s="58"/>
      <c r="F8" s="58"/>
      <c r="G8" s="58"/>
      <c r="H8" s="58"/>
      <c r="I8" s="58"/>
      <c r="J8" s="58"/>
      <c r="K8" s="58"/>
      <c r="L8" s="58"/>
      <c r="M8" s="58"/>
      <c r="N8" s="58"/>
      <c r="O8" s="58"/>
      <c r="P8" s="58"/>
      <c r="Q8" s="58"/>
      <c r="R8" s="58"/>
      <c r="S8" s="58"/>
      <c r="T8" s="58"/>
      <c r="U8" s="58"/>
      <c r="V8" s="58"/>
      <c r="W8" s="58"/>
      <c r="X8" s="58"/>
      <c r="Y8" s="58"/>
      <c r="Z8" s="59"/>
      <c r="AA8" s="56"/>
      <c r="AB8" s="56"/>
      <c r="AC8" s="56"/>
      <c r="AD8" s="56"/>
      <c r="AE8" s="56"/>
      <c r="AF8" s="56"/>
      <c r="AG8" s="56"/>
      <c r="AH8" s="56"/>
      <c r="AI8" s="56"/>
      <c r="AJ8" s="56"/>
      <c r="AK8" s="56"/>
      <c r="AL8" s="56"/>
      <c r="AM8" s="56"/>
      <c r="AN8" s="56"/>
      <c r="AO8" s="56"/>
      <c r="AP8" s="56"/>
    </row>
    <row r="9" customFormat="false" ht="15" hidden="false" customHeight="true" outlineLevel="0" collapsed="false">
      <c r="A9" s="61" t="n">
        <v>0.270138888888889</v>
      </c>
      <c r="B9" s="58"/>
      <c r="C9" s="58"/>
      <c r="D9" s="58"/>
      <c r="E9" s="58"/>
      <c r="F9" s="58"/>
      <c r="G9" s="58"/>
      <c r="H9" s="58"/>
      <c r="I9" s="58"/>
      <c r="J9" s="58"/>
      <c r="K9" s="58"/>
      <c r="L9" s="58"/>
      <c r="M9" s="58"/>
      <c r="N9" s="58"/>
      <c r="O9" s="58"/>
      <c r="P9" s="58"/>
      <c r="Q9" s="58"/>
      <c r="R9" s="58"/>
      <c r="S9" s="58"/>
      <c r="T9" s="58"/>
      <c r="U9" s="58"/>
      <c r="V9" s="58"/>
      <c r="W9" s="58"/>
      <c r="X9" s="58"/>
      <c r="Y9" s="58"/>
      <c r="Z9" s="59"/>
      <c r="AA9" s="56"/>
      <c r="AB9" s="56"/>
      <c r="AC9" s="56"/>
      <c r="AD9" s="56"/>
      <c r="AE9" s="56"/>
      <c r="AF9" s="56"/>
      <c r="AG9" s="56"/>
      <c r="AH9" s="56"/>
      <c r="AI9" s="56"/>
      <c r="AJ9" s="56"/>
      <c r="AK9" s="56"/>
      <c r="AL9" s="56"/>
      <c r="AM9" s="56"/>
      <c r="AN9" s="56"/>
      <c r="AO9" s="56"/>
      <c r="AP9" s="56"/>
    </row>
    <row r="10" customFormat="false" ht="24" hidden="false" customHeight="true" outlineLevel="0" collapsed="false">
      <c r="A10" s="62"/>
      <c r="B10" s="63" t="s">
        <v>110</v>
      </c>
      <c r="C10" s="63"/>
      <c r="D10" s="63"/>
      <c r="E10" s="63"/>
      <c r="F10" s="63"/>
      <c r="G10" s="63"/>
      <c r="H10" s="63"/>
      <c r="I10" s="63"/>
      <c r="J10" s="63"/>
      <c r="K10" s="63"/>
      <c r="L10" s="63"/>
      <c r="M10" s="63"/>
      <c r="N10" s="63"/>
      <c r="O10" s="63"/>
      <c r="P10" s="63"/>
      <c r="Q10" s="63"/>
      <c r="R10" s="63"/>
      <c r="S10" s="63"/>
      <c r="T10" s="63"/>
      <c r="U10" s="63"/>
      <c r="V10" s="63"/>
      <c r="W10" s="63"/>
      <c r="X10" s="63"/>
      <c r="Y10" s="63"/>
      <c r="Z10" s="59"/>
      <c r="AA10" s="56"/>
      <c r="AB10" s="56"/>
      <c r="AC10" s="56"/>
      <c r="AD10" s="56"/>
      <c r="AE10" s="56"/>
      <c r="AF10" s="56"/>
      <c r="AG10" s="56"/>
      <c r="AH10" s="56"/>
      <c r="AI10" s="56"/>
      <c r="AJ10" s="56"/>
      <c r="AK10" s="56"/>
      <c r="AL10" s="56"/>
      <c r="AM10" s="56"/>
      <c r="AN10" s="56"/>
      <c r="AO10" s="56"/>
      <c r="AP10" s="56"/>
    </row>
    <row r="11" customFormat="false" ht="101.25" hidden="false" customHeight="true" outlineLevel="0" collapsed="false">
      <c r="A11" s="62"/>
      <c r="B11" s="64" t="s">
        <v>62</v>
      </c>
      <c r="C11" s="64" t="s">
        <v>64</v>
      </c>
      <c r="D11" s="64" t="s">
        <v>66</v>
      </c>
      <c r="E11" s="64" t="s">
        <v>68</v>
      </c>
      <c r="F11" s="64" t="s">
        <v>69</v>
      </c>
      <c r="G11" s="64" t="s">
        <v>71</v>
      </c>
      <c r="H11" s="64" t="s">
        <v>73</v>
      </c>
      <c r="I11" s="64" t="s">
        <v>75</v>
      </c>
      <c r="J11" s="64" t="s">
        <v>77</v>
      </c>
      <c r="K11" s="64" t="s">
        <v>79</v>
      </c>
      <c r="L11" s="64" t="s">
        <v>81</v>
      </c>
      <c r="M11" s="64" t="s">
        <v>83</v>
      </c>
      <c r="N11" s="64" t="s">
        <v>87</v>
      </c>
      <c r="O11" s="64" t="s">
        <v>89</v>
      </c>
      <c r="P11" s="64" t="s">
        <v>91</v>
      </c>
      <c r="Q11" s="64" t="s">
        <v>93</v>
      </c>
      <c r="R11" s="64" t="s">
        <v>95</v>
      </c>
      <c r="S11" s="64" t="s">
        <v>97</v>
      </c>
      <c r="T11" s="64" t="s">
        <v>98</v>
      </c>
      <c r="U11" s="64" t="s">
        <v>100</v>
      </c>
      <c r="V11" s="64" t="s">
        <v>111</v>
      </c>
      <c r="W11" s="64" t="s">
        <v>104</v>
      </c>
      <c r="X11" s="64" t="s">
        <v>106</v>
      </c>
      <c r="Y11" s="64" t="s">
        <v>108</v>
      </c>
      <c r="Z11" s="59"/>
      <c r="AA11" s="56"/>
      <c r="AB11" s="56"/>
      <c r="AC11" s="56"/>
      <c r="AD11" s="56"/>
      <c r="AE11" s="56"/>
      <c r="AF11" s="56"/>
      <c r="AG11" s="56"/>
      <c r="AH11" s="56"/>
      <c r="AI11" s="56"/>
      <c r="AJ11" s="56"/>
      <c r="AK11" s="56"/>
      <c r="AL11" s="56"/>
      <c r="AM11" s="56"/>
      <c r="AN11" s="56"/>
      <c r="AO11" s="56"/>
      <c r="AP11" s="56"/>
    </row>
    <row r="12" customFormat="false" ht="85.5" hidden="false" customHeight="true" outlineLevel="0" collapsed="false">
      <c r="A12" s="62"/>
      <c r="B12" s="65" t="n">
        <v>1</v>
      </c>
      <c r="C12" s="66" t="s">
        <v>12</v>
      </c>
      <c r="D12" s="66" t="s">
        <v>112</v>
      </c>
      <c r="E12" s="67" t="n">
        <v>45710</v>
      </c>
      <c r="F12" s="66" t="s">
        <v>113</v>
      </c>
      <c r="G12" s="66" t="s">
        <v>114</v>
      </c>
      <c r="H12" s="66" t="s">
        <v>38</v>
      </c>
      <c r="I12" s="66" t="s">
        <v>115</v>
      </c>
      <c r="J12" s="67" t="n">
        <v>45711</v>
      </c>
      <c r="K12" s="66" t="n">
        <v>5</v>
      </c>
      <c r="L12" s="66" t="n">
        <v>5</v>
      </c>
      <c r="M12" s="68" t="str">
        <f aca="false">IF(K12*L12&lt;=3,"Very Low",IF(K12*L12&lt;=6,"Low",IF(K12*L12&lt;=10,"Medium",IF(K12*L12&lt;=16,"High","Critical"))))</f>
        <v>Critical</v>
      </c>
      <c r="N12" s="66" t="s">
        <v>15</v>
      </c>
      <c r="O12" s="66" t="s">
        <v>13</v>
      </c>
      <c r="P12" s="66" t="s">
        <v>116</v>
      </c>
      <c r="Q12" s="66" t="s">
        <v>117</v>
      </c>
      <c r="R12" s="67" t="n">
        <v>46081</v>
      </c>
      <c r="S12" s="66" t="s">
        <v>118</v>
      </c>
      <c r="T12" s="66" t="n">
        <v>2</v>
      </c>
      <c r="U12" s="66" t="n">
        <v>5</v>
      </c>
      <c r="V12" s="68" t="str">
        <f aca="false">IF(T12*U12&lt;=3,"Very Low",IF(T12*U12&lt;=6,"Low",IF(T12*U12&lt;=10,"Medium",IF(T12*U12&lt;=16,"High","Critical"))))</f>
        <v>Medium</v>
      </c>
      <c r="W12" s="66" t="s">
        <v>119</v>
      </c>
      <c r="X12" s="67" t="n">
        <v>45711</v>
      </c>
      <c r="Y12" s="66" t="s">
        <v>32</v>
      </c>
      <c r="Z12" s="59"/>
      <c r="AA12" s="56"/>
      <c r="AB12" s="56"/>
      <c r="AC12" s="56"/>
      <c r="AD12" s="56"/>
      <c r="AE12" s="56"/>
      <c r="AF12" s="56"/>
      <c r="AG12" s="56"/>
      <c r="AH12" s="56"/>
      <c r="AI12" s="56"/>
      <c r="AJ12" s="56"/>
      <c r="AK12" s="56"/>
      <c r="AL12" s="56"/>
      <c r="AM12" s="56"/>
      <c r="AN12" s="56"/>
      <c r="AO12" s="56"/>
      <c r="AP12" s="56"/>
    </row>
    <row r="13" customFormat="false" ht="85.5" hidden="false" customHeight="true" outlineLevel="0" collapsed="false">
      <c r="A13" s="62"/>
      <c r="B13" s="65" t="n">
        <v>2</v>
      </c>
      <c r="C13" s="69" t="s">
        <v>12</v>
      </c>
      <c r="D13" s="69" t="s">
        <v>112</v>
      </c>
      <c r="E13" s="70" t="n">
        <v>45710</v>
      </c>
      <c r="F13" s="69" t="s">
        <v>120</v>
      </c>
      <c r="G13" s="69" t="s">
        <v>114</v>
      </c>
      <c r="H13" s="69" t="s">
        <v>31</v>
      </c>
      <c r="I13" s="69" t="s">
        <v>121</v>
      </c>
      <c r="J13" s="70" t="n">
        <v>45711</v>
      </c>
      <c r="K13" s="69" t="n">
        <v>5</v>
      </c>
      <c r="L13" s="69" t="n">
        <v>4</v>
      </c>
      <c r="M13" s="71" t="s">
        <v>122</v>
      </c>
      <c r="N13" s="69" t="s">
        <v>15</v>
      </c>
      <c r="O13" s="69" t="s">
        <v>13</v>
      </c>
      <c r="P13" s="69" t="s">
        <v>116</v>
      </c>
      <c r="Q13" s="69" t="s">
        <v>117</v>
      </c>
      <c r="R13" s="70" t="n">
        <v>46081</v>
      </c>
      <c r="S13" s="69" t="s">
        <v>118</v>
      </c>
      <c r="T13" s="69" t="n">
        <v>2</v>
      </c>
      <c r="U13" s="69" t="n">
        <v>5</v>
      </c>
      <c r="V13" s="71" t="s">
        <v>24</v>
      </c>
      <c r="W13" s="69" t="s">
        <v>119</v>
      </c>
      <c r="X13" s="69" t="s">
        <v>123</v>
      </c>
      <c r="Y13" s="69"/>
      <c r="Z13" s="59"/>
      <c r="AA13" s="56"/>
      <c r="AB13" s="56"/>
      <c r="AC13" s="56"/>
      <c r="AD13" s="56"/>
      <c r="AE13" s="56"/>
      <c r="AF13" s="56"/>
      <c r="AG13" s="56"/>
      <c r="AH13" s="56"/>
      <c r="AI13" s="56"/>
      <c r="AJ13" s="56"/>
      <c r="AK13" s="56"/>
      <c r="AL13" s="56"/>
      <c r="AM13" s="56"/>
      <c r="AN13" s="56"/>
      <c r="AO13" s="56"/>
      <c r="AP13" s="56"/>
    </row>
    <row r="14" customFormat="false" ht="85.5" hidden="false" customHeight="true" outlineLevel="0" collapsed="false">
      <c r="A14" s="72" t="s">
        <v>124</v>
      </c>
      <c r="B14" s="65" t="n">
        <v>3</v>
      </c>
      <c r="C14" s="66" t="s">
        <v>12</v>
      </c>
      <c r="D14" s="66" t="s">
        <v>112</v>
      </c>
      <c r="E14" s="73" t="n">
        <v>45710</v>
      </c>
      <c r="F14" s="66" t="s">
        <v>125</v>
      </c>
      <c r="G14" s="66" t="s">
        <v>114</v>
      </c>
      <c r="H14" s="66" t="s">
        <v>126</v>
      </c>
      <c r="I14" s="66" t="s">
        <v>127</v>
      </c>
      <c r="J14" s="73" t="n">
        <v>45711</v>
      </c>
      <c r="K14" s="66" t="n">
        <v>4</v>
      </c>
      <c r="L14" s="66" t="n">
        <v>3</v>
      </c>
      <c r="M14" s="68" t="s">
        <v>20</v>
      </c>
      <c r="N14" s="66" t="s">
        <v>20</v>
      </c>
      <c r="O14" s="66" t="s">
        <v>13</v>
      </c>
      <c r="P14" s="66" t="s">
        <v>116</v>
      </c>
      <c r="Q14" s="66" t="s">
        <v>128</v>
      </c>
      <c r="R14" s="74" t="n">
        <v>46081</v>
      </c>
      <c r="S14" s="66" t="s">
        <v>118</v>
      </c>
      <c r="T14" s="66" t="n">
        <v>2</v>
      </c>
      <c r="U14" s="66" t="n">
        <v>5</v>
      </c>
      <c r="V14" s="68" t="s">
        <v>24</v>
      </c>
      <c r="W14" s="66" t="s">
        <v>119</v>
      </c>
      <c r="X14" s="66" t="s">
        <v>123</v>
      </c>
      <c r="Y14" s="66"/>
      <c r="Z14" s="59"/>
      <c r="AA14" s="56"/>
      <c r="AB14" s="56"/>
      <c r="AC14" s="56"/>
      <c r="AD14" s="56"/>
      <c r="AE14" s="56"/>
      <c r="AF14" s="56"/>
      <c r="AG14" s="56"/>
      <c r="AH14" s="56"/>
      <c r="AI14" s="56"/>
      <c r="AJ14" s="56"/>
      <c r="AK14" s="56"/>
      <c r="AL14" s="56"/>
      <c r="AM14" s="56"/>
      <c r="AN14" s="56"/>
      <c r="AO14" s="56"/>
      <c r="AP14" s="56"/>
    </row>
    <row r="15" customFormat="false" ht="85.5" hidden="false" customHeight="true" outlineLevel="0" collapsed="false">
      <c r="A15" s="72" t="s">
        <v>124</v>
      </c>
      <c r="B15" s="65" t="n">
        <v>4</v>
      </c>
      <c r="C15" s="69" t="s">
        <v>12</v>
      </c>
      <c r="D15" s="69" t="s">
        <v>112</v>
      </c>
      <c r="E15" s="70" t="n">
        <v>45750</v>
      </c>
      <c r="F15" s="69" t="s">
        <v>129</v>
      </c>
      <c r="G15" s="69" t="s">
        <v>130</v>
      </c>
      <c r="H15" s="69" t="s">
        <v>131</v>
      </c>
      <c r="I15" s="69" t="s">
        <v>132</v>
      </c>
      <c r="J15" s="70" t="n">
        <v>46145</v>
      </c>
      <c r="K15" s="69" t="n">
        <v>5</v>
      </c>
      <c r="L15" s="69" t="n">
        <v>5</v>
      </c>
      <c r="M15" s="71" t="s">
        <v>122</v>
      </c>
      <c r="N15" s="69" t="s">
        <v>15</v>
      </c>
      <c r="O15" s="69" t="s">
        <v>13</v>
      </c>
      <c r="P15" s="69" t="s">
        <v>133</v>
      </c>
      <c r="Q15" s="69" t="s">
        <v>134</v>
      </c>
      <c r="R15" s="70" t="n">
        <v>46298</v>
      </c>
      <c r="S15" s="69" t="s">
        <v>135</v>
      </c>
      <c r="T15" s="69" t="n">
        <v>3</v>
      </c>
      <c r="U15" s="69" t="n">
        <v>3</v>
      </c>
      <c r="V15" s="71" t="s">
        <v>136</v>
      </c>
      <c r="W15" s="69" t="s">
        <v>137</v>
      </c>
      <c r="X15" s="70" t="n">
        <v>46329</v>
      </c>
      <c r="Y15" s="69"/>
      <c r="Z15" s="59"/>
      <c r="AA15" s="56"/>
      <c r="AB15" s="56"/>
      <c r="AC15" s="56"/>
      <c r="AD15" s="56"/>
      <c r="AE15" s="56"/>
      <c r="AF15" s="56"/>
      <c r="AG15" s="56"/>
      <c r="AH15" s="56"/>
      <c r="AI15" s="56"/>
      <c r="AJ15" s="56"/>
      <c r="AK15" s="56"/>
      <c r="AL15" s="56"/>
      <c r="AM15" s="56"/>
      <c r="AN15" s="56"/>
      <c r="AO15" s="56"/>
      <c r="AP15" s="56"/>
    </row>
    <row r="16" customFormat="false" ht="85.5" hidden="false" customHeight="true" outlineLevel="0" collapsed="false">
      <c r="A16" s="72" t="s">
        <v>124</v>
      </c>
      <c r="B16" s="65" t="n">
        <v>5</v>
      </c>
      <c r="C16" s="66" t="s">
        <v>12</v>
      </c>
      <c r="D16" s="66" t="s">
        <v>138</v>
      </c>
      <c r="E16" s="73" t="n">
        <v>45933</v>
      </c>
      <c r="F16" s="66" t="s">
        <v>139</v>
      </c>
      <c r="G16" s="66" t="s">
        <v>140</v>
      </c>
      <c r="H16" s="66" t="s">
        <v>141</v>
      </c>
      <c r="I16" s="66" t="s">
        <v>142</v>
      </c>
      <c r="J16" s="73" t="n">
        <v>45964</v>
      </c>
      <c r="K16" s="66" t="n">
        <v>3</v>
      </c>
      <c r="L16" s="66" t="n">
        <v>5</v>
      </c>
      <c r="M16" s="68" t="s">
        <v>15</v>
      </c>
      <c r="N16" s="66" t="s">
        <v>15</v>
      </c>
      <c r="O16" s="66" t="s">
        <v>13</v>
      </c>
      <c r="P16" s="66" t="s">
        <v>143</v>
      </c>
      <c r="Q16" s="66" t="s">
        <v>144</v>
      </c>
      <c r="R16" s="66" t="s">
        <v>145</v>
      </c>
      <c r="S16" s="66" t="s">
        <v>146</v>
      </c>
      <c r="T16" s="66" t="n">
        <v>1</v>
      </c>
      <c r="U16" s="66" t="n">
        <v>1</v>
      </c>
      <c r="V16" s="68" t="s">
        <v>147</v>
      </c>
      <c r="W16" s="66" t="s">
        <v>148</v>
      </c>
      <c r="X16" s="66" t="s">
        <v>149</v>
      </c>
      <c r="Y16" s="66"/>
      <c r="Z16" s="59"/>
      <c r="AA16" s="56"/>
      <c r="AB16" s="56"/>
      <c r="AC16" s="56"/>
      <c r="AD16" s="56"/>
      <c r="AE16" s="56"/>
      <c r="AF16" s="56"/>
      <c r="AG16" s="56"/>
      <c r="AH16" s="56"/>
      <c r="AI16" s="56"/>
      <c r="AJ16" s="56"/>
      <c r="AK16" s="56"/>
      <c r="AL16" s="56"/>
      <c r="AM16" s="56"/>
      <c r="AN16" s="56"/>
      <c r="AO16" s="56"/>
      <c r="AP16" s="56"/>
    </row>
    <row r="17" customFormat="false" ht="85.5" hidden="false" customHeight="true" outlineLevel="0" collapsed="false">
      <c r="A17" s="72" t="s">
        <v>124</v>
      </c>
      <c r="B17" s="65" t="n">
        <v>6</v>
      </c>
      <c r="C17" s="66" t="s">
        <v>12</v>
      </c>
      <c r="D17" s="66" t="s">
        <v>150</v>
      </c>
      <c r="E17" s="73" t="s">
        <v>151</v>
      </c>
      <c r="F17" s="66" t="s">
        <v>152</v>
      </c>
      <c r="G17" s="66" t="s">
        <v>153</v>
      </c>
      <c r="H17" s="66" t="s">
        <v>154</v>
      </c>
      <c r="I17" s="66" t="s">
        <v>155</v>
      </c>
      <c r="J17" s="66" t="s">
        <v>156</v>
      </c>
      <c r="K17" s="66" t="n">
        <v>4</v>
      </c>
      <c r="L17" s="66" t="n">
        <v>4</v>
      </c>
      <c r="M17" s="68" t="s">
        <v>15</v>
      </c>
      <c r="N17" s="66" t="s">
        <v>15</v>
      </c>
      <c r="O17" s="66" t="s">
        <v>13</v>
      </c>
      <c r="P17" s="66" t="s">
        <v>157</v>
      </c>
      <c r="Q17" s="66" t="s">
        <v>158</v>
      </c>
      <c r="R17" s="66" t="s">
        <v>159</v>
      </c>
      <c r="S17" s="66" t="s">
        <v>160</v>
      </c>
      <c r="T17" s="66" t="n">
        <v>2</v>
      </c>
      <c r="U17" s="66" t="n">
        <v>2</v>
      </c>
      <c r="V17" s="68" t="s">
        <v>28</v>
      </c>
      <c r="W17" s="66" t="s">
        <v>161</v>
      </c>
      <c r="X17" s="66" t="s">
        <v>162</v>
      </c>
      <c r="Y17" s="66"/>
      <c r="Z17" s="59"/>
      <c r="AA17" s="56"/>
      <c r="AB17" s="56"/>
      <c r="AC17" s="56"/>
      <c r="AD17" s="56"/>
      <c r="AE17" s="56"/>
      <c r="AF17" s="56"/>
      <c r="AG17" s="56"/>
      <c r="AH17" s="56"/>
      <c r="AI17" s="56"/>
      <c r="AJ17" s="56"/>
      <c r="AK17" s="56"/>
      <c r="AL17" s="56"/>
      <c r="AM17" s="56"/>
      <c r="AN17" s="56"/>
      <c r="AO17" s="56"/>
      <c r="AP17" s="56"/>
    </row>
    <row r="18" customFormat="false" ht="85.5" hidden="false" customHeight="true" outlineLevel="0" collapsed="false">
      <c r="A18" s="72" t="s">
        <v>124</v>
      </c>
      <c r="B18" s="65" t="n">
        <v>7</v>
      </c>
      <c r="C18" s="66" t="s">
        <v>12</v>
      </c>
      <c r="D18" s="66" t="s">
        <v>163</v>
      </c>
      <c r="E18" s="73" t="n">
        <v>46303</v>
      </c>
      <c r="F18" s="66" t="s">
        <v>164</v>
      </c>
      <c r="G18" s="66" t="s">
        <v>165</v>
      </c>
      <c r="H18" s="66" t="s">
        <v>166</v>
      </c>
      <c r="I18" s="66"/>
      <c r="J18" s="73" t="n">
        <v>46334</v>
      </c>
      <c r="K18" s="66" t="n">
        <v>5</v>
      </c>
      <c r="L18" s="66" t="n">
        <v>5</v>
      </c>
      <c r="M18" s="68" t="s">
        <v>15</v>
      </c>
      <c r="N18" s="66" t="s">
        <v>15</v>
      </c>
      <c r="O18" s="66" t="s">
        <v>13</v>
      </c>
      <c r="P18" s="66"/>
      <c r="Q18" s="66" t="s">
        <v>163</v>
      </c>
      <c r="R18" s="66" t="s">
        <v>167</v>
      </c>
      <c r="S18" s="66" t="s">
        <v>168</v>
      </c>
      <c r="T18" s="66" t="n">
        <v>4</v>
      </c>
      <c r="U18" s="66" t="n">
        <v>4</v>
      </c>
      <c r="V18" s="68" t="s">
        <v>15</v>
      </c>
      <c r="W18" s="66" t="s">
        <v>169</v>
      </c>
      <c r="X18" s="66" t="s">
        <v>170</v>
      </c>
      <c r="Y18" s="66"/>
      <c r="Z18" s="59"/>
      <c r="AA18" s="56"/>
      <c r="AB18" s="56"/>
      <c r="AC18" s="56"/>
      <c r="AD18" s="56"/>
      <c r="AE18" s="56"/>
      <c r="AF18" s="56"/>
      <c r="AG18" s="56"/>
      <c r="AH18" s="56"/>
      <c r="AI18" s="56"/>
      <c r="AJ18" s="56"/>
      <c r="AK18" s="56"/>
      <c r="AL18" s="56"/>
      <c r="AM18" s="56"/>
      <c r="AN18" s="56"/>
      <c r="AO18" s="56"/>
      <c r="AP18" s="56"/>
    </row>
    <row r="19" customFormat="false" ht="85.5" hidden="false" customHeight="true" outlineLevel="0" collapsed="false">
      <c r="A19" s="72" t="s">
        <v>124</v>
      </c>
      <c r="B19" s="65" t="n">
        <v>8</v>
      </c>
      <c r="C19" s="66" t="s">
        <v>12</v>
      </c>
      <c r="D19" s="66" t="s">
        <v>171</v>
      </c>
      <c r="E19" s="73" t="s">
        <v>172</v>
      </c>
      <c r="F19" s="66" t="s">
        <v>173</v>
      </c>
      <c r="G19" s="66" t="s">
        <v>174</v>
      </c>
      <c r="H19" s="66" t="s">
        <v>175</v>
      </c>
      <c r="I19" s="66" t="s">
        <v>176</v>
      </c>
      <c r="J19" s="66" t="s">
        <v>177</v>
      </c>
      <c r="K19" s="66" t="n">
        <v>5</v>
      </c>
      <c r="L19" s="66" t="n">
        <v>5</v>
      </c>
      <c r="M19" s="68" t="s">
        <v>15</v>
      </c>
      <c r="N19" s="66" t="s">
        <v>15</v>
      </c>
      <c r="O19" s="66" t="s">
        <v>13</v>
      </c>
      <c r="P19" s="66" t="s">
        <v>178</v>
      </c>
      <c r="Q19" s="66" t="s">
        <v>171</v>
      </c>
      <c r="R19" s="66" t="s">
        <v>179</v>
      </c>
      <c r="S19" s="66"/>
      <c r="T19" s="66" t="n">
        <v>3</v>
      </c>
      <c r="U19" s="66" t="n">
        <v>3</v>
      </c>
      <c r="V19" s="68" t="s">
        <v>24</v>
      </c>
      <c r="W19" s="66" t="s">
        <v>178</v>
      </c>
      <c r="X19" s="66" t="s">
        <v>180</v>
      </c>
      <c r="Y19" s="66"/>
      <c r="Z19" s="59"/>
      <c r="AA19" s="56"/>
      <c r="AB19" s="56"/>
      <c r="AC19" s="56"/>
      <c r="AD19" s="56"/>
      <c r="AE19" s="56"/>
      <c r="AF19" s="56"/>
      <c r="AG19" s="56"/>
      <c r="AH19" s="56"/>
      <c r="AI19" s="56"/>
      <c r="AJ19" s="56"/>
      <c r="AK19" s="56"/>
      <c r="AL19" s="56"/>
      <c r="AM19" s="56"/>
      <c r="AN19" s="56"/>
      <c r="AO19" s="56"/>
      <c r="AP19" s="56"/>
    </row>
    <row r="20" customFormat="false" ht="85.5" hidden="false" customHeight="true" outlineLevel="0" collapsed="false">
      <c r="A20" s="62" t="s">
        <v>124</v>
      </c>
      <c r="B20" s="65" t="n">
        <v>9</v>
      </c>
      <c r="C20" s="66" t="s">
        <v>12</v>
      </c>
      <c r="D20" s="66" t="s">
        <v>181</v>
      </c>
      <c r="E20" s="75" t="n">
        <v>46118</v>
      </c>
      <c r="F20" s="66" t="s">
        <v>182</v>
      </c>
      <c r="G20" s="66" t="s">
        <v>183</v>
      </c>
      <c r="H20" s="66" t="s">
        <v>16</v>
      </c>
      <c r="I20" s="66" t="s">
        <v>184</v>
      </c>
      <c r="J20" s="75" t="n">
        <v>46118</v>
      </c>
      <c r="K20" s="66" t="n">
        <v>4</v>
      </c>
      <c r="L20" s="66" t="n">
        <v>5</v>
      </c>
      <c r="M20" s="68" t="str">
        <f aca="false">IF(K20*L20&lt;=3,"Very Low",IF(K20*L20&lt;=6,"Low",IF(K20*L20&lt;=10,"Medium",IF(K20*L20&lt;=16,"High","Critical"))))</f>
        <v>Critical</v>
      </c>
      <c r="N20" s="66" t="s">
        <v>15</v>
      </c>
      <c r="O20" s="66" t="s">
        <v>13</v>
      </c>
      <c r="P20" s="66" t="s">
        <v>185</v>
      </c>
      <c r="Q20" s="66" t="s">
        <v>186</v>
      </c>
      <c r="R20" s="75" t="n">
        <v>46203</v>
      </c>
      <c r="S20" s="66" t="s">
        <v>187</v>
      </c>
      <c r="T20" s="66" t="n">
        <v>2</v>
      </c>
      <c r="U20" s="66" t="n">
        <v>5</v>
      </c>
      <c r="V20" s="68" t="str">
        <f aca="false">IF(T20*U20&lt;=3,"Very Low",IF(T20*U20&lt;=6,"Low",IF(T20*U20&lt;=10,"Medium",IF(T20*U20&lt;=16,"High","Critical"))))</f>
        <v>Medium</v>
      </c>
      <c r="W20" s="66" t="s">
        <v>188</v>
      </c>
      <c r="X20" s="75" t="n">
        <v>46118</v>
      </c>
      <c r="Y20" s="66" t="s">
        <v>189</v>
      </c>
      <c r="Z20" s="59"/>
      <c r="AA20" s="56"/>
      <c r="AB20" s="56"/>
      <c r="AC20" s="56"/>
      <c r="AD20" s="56"/>
      <c r="AE20" s="56"/>
      <c r="AF20" s="56"/>
      <c r="AG20" s="56"/>
      <c r="AH20" s="56"/>
      <c r="AI20" s="56"/>
      <c r="AJ20" s="56"/>
      <c r="AK20" s="56"/>
      <c r="AL20" s="56"/>
      <c r="AM20" s="56"/>
      <c r="AN20" s="56"/>
      <c r="AO20" s="56"/>
      <c r="AP20" s="56"/>
    </row>
    <row r="21" customFormat="false" ht="85.5" hidden="false" customHeight="true" outlineLevel="0" collapsed="false">
      <c r="A21" s="62" t="s">
        <v>124</v>
      </c>
      <c r="B21" s="65" t="n">
        <v>10</v>
      </c>
      <c r="C21" s="69" t="s">
        <v>12</v>
      </c>
      <c r="D21" s="69" t="s">
        <v>112</v>
      </c>
      <c r="E21" s="76" t="n">
        <v>46118</v>
      </c>
      <c r="F21" s="69" t="s">
        <v>190</v>
      </c>
      <c r="G21" s="69" t="s">
        <v>191</v>
      </c>
      <c r="H21" s="69" t="s">
        <v>40</v>
      </c>
      <c r="I21" s="69" t="s">
        <v>192</v>
      </c>
      <c r="J21" s="76" t="n">
        <v>46118</v>
      </c>
      <c r="K21" s="69" t="n">
        <v>4</v>
      </c>
      <c r="L21" s="69" t="n">
        <v>5</v>
      </c>
      <c r="M21" s="71" t="str">
        <f aca="false">IF(K21*L21&lt;=3,"Very Low",IF(K21*L21&lt;=6,"Low",IF(K21*L21&lt;=10,"Medium",IF(K21*L21&lt;=16,"High","Critical"))))</f>
        <v>Critical</v>
      </c>
      <c r="N21" s="69" t="s">
        <v>15</v>
      </c>
      <c r="O21" s="69" t="s">
        <v>13</v>
      </c>
      <c r="P21" s="69" t="s">
        <v>193</v>
      </c>
      <c r="Q21" s="69" t="s">
        <v>194</v>
      </c>
      <c r="R21" s="76" t="n">
        <v>46173</v>
      </c>
      <c r="S21" s="69" t="s">
        <v>195</v>
      </c>
      <c r="T21" s="69" t="n">
        <v>2</v>
      </c>
      <c r="U21" s="69" t="n">
        <v>4</v>
      </c>
      <c r="V21" s="71" t="str">
        <f aca="false">IF(T21*U21&lt;=3,"Very Low",IF(T21*U21&lt;=6,"Low",IF(T21*U21&lt;=10,"Medium",IF(T21*U21&lt;=16,"High","Critical"))))</f>
        <v>Medium</v>
      </c>
      <c r="W21" s="69" t="s">
        <v>196</v>
      </c>
      <c r="X21" s="76" t="n">
        <v>46118</v>
      </c>
      <c r="Y21" s="69" t="s">
        <v>197</v>
      </c>
      <c r="Z21" s="59"/>
      <c r="AA21" s="56"/>
      <c r="AB21" s="56"/>
      <c r="AC21" s="56"/>
      <c r="AD21" s="56"/>
      <c r="AE21" s="56"/>
      <c r="AF21" s="56"/>
      <c r="AG21" s="56"/>
      <c r="AH21" s="56"/>
      <c r="AI21" s="56"/>
      <c r="AJ21" s="56"/>
      <c r="AK21" s="56"/>
      <c r="AL21" s="56"/>
      <c r="AM21" s="56"/>
      <c r="AN21" s="56"/>
      <c r="AO21" s="56"/>
      <c r="AP21" s="56"/>
    </row>
    <row r="22" customFormat="false" ht="85.5" hidden="false" customHeight="true" outlineLevel="0" collapsed="false">
      <c r="A22" s="62" t="s">
        <v>124</v>
      </c>
      <c r="B22" s="65" t="n">
        <v>11</v>
      </c>
      <c r="C22" s="66" t="s">
        <v>12</v>
      </c>
      <c r="D22" s="66" t="s">
        <v>198</v>
      </c>
      <c r="E22" s="75" t="n">
        <v>46118</v>
      </c>
      <c r="F22" s="66" t="s">
        <v>199</v>
      </c>
      <c r="G22" s="66" t="s">
        <v>200</v>
      </c>
      <c r="H22" s="66" t="s">
        <v>16</v>
      </c>
      <c r="I22" s="66" t="s">
        <v>201</v>
      </c>
      <c r="J22" s="75" t="n">
        <v>46118</v>
      </c>
      <c r="K22" s="66" t="n">
        <v>4</v>
      </c>
      <c r="L22" s="66" t="n">
        <v>4</v>
      </c>
      <c r="M22" s="68" t="str">
        <f aca="false">IF(K22*L22&lt;=3,"Very Low",IF(K22*L22&lt;=6,"Low",IF(K22*L22&lt;=10,"Medium",IF(K22*L22&lt;=16,"High","Critical"))))</f>
        <v>High</v>
      </c>
      <c r="N22" s="66" t="s">
        <v>20</v>
      </c>
      <c r="O22" s="66" t="s">
        <v>13</v>
      </c>
      <c r="P22" s="66" t="s">
        <v>202</v>
      </c>
      <c r="Q22" s="66" t="s">
        <v>203</v>
      </c>
      <c r="R22" s="75" t="n">
        <v>46157</v>
      </c>
      <c r="S22" s="66" t="s">
        <v>204</v>
      </c>
      <c r="T22" s="66" t="n">
        <v>2</v>
      </c>
      <c r="U22" s="66" t="n">
        <v>3</v>
      </c>
      <c r="V22" s="68" t="str">
        <f aca="false">IF(T22*U22&lt;=3,"Very Low",IF(T22*U22&lt;=6,"Low",IF(T22*U22&lt;=10,"Medium",IF(T22*U22&lt;=16,"High","Critical"))))</f>
        <v>Low</v>
      </c>
      <c r="W22" s="66" t="s">
        <v>205</v>
      </c>
      <c r="X22" s="75" t="n">
        <v>46118</v>
      </c>
      <c r="Y22" s="66" t="s">
        <v>206</v>
      </c>
      <c r="Z22" s="59"/>
      <c r="AA22" s="56"/>
      <c r="AB22" s="56"/>
      <c r="AC22" s="56"/>
      <c r="AD22" s="56"/>
      <c r="AE22" s="56"/>
      <c r="AF22" s="56"/>
      <c r="AG22" s="56"/>
      <c r="AH22" s="56"/>
      <c r="AI22" s="56"/>
      <c r="AJ22" s="56"/>
      <c r="AK22" s="56"/>
      <c r="AL22" s="56"/>
      <c r="AM22" s="56"/>
      <c r="AN22" s="56"/>
      <c r="AO22" s="56"/>
      <c r="AP22" s="56"/>
    </row>
    <row r="23" customFormat="false" ht="85.5" hidden="false" customHeight="true" outlineLevel="0" collapsed="false">
      <c r="A23" s="62" t="s">
        <v>124</v>
      </c>
      <c r="B23" s="65" t="n">
        <v>12</v>
      </c>
      <c r="C23" s="69" t="s">
        <v>22</v>
      </c>
      <c r="D23" s="69" t="s">
        <v>207</v>
      </c>
      <c r="E23" s="76" t="n">
        <v>46118</v>
      </c>
      <c r="F23" s="69" t="s">
        <v>208</v>
      </c>
      <c r="G23" s="69" t="s">
        <v>209</v>
      </c>
      <c r="H23" s="69" t="s">
        <v>21</v>
      </c>
      <c r="I23" s="69" t="s">
        <v>210</v>
      </c>
      <c r="J23" s="76" t="n">
        <v>46118</v>
      </c>
      <c r="K23" s="69" t="n">
        <v>3</v>
      </c>
      <c r="L23" s="69" t="n">
        <v>5</v>
      </c>
      <c r="M23" s="71" t="str">
        <f aca="false">IF(K23*L23&lt;=3,"Very Low",IF(K23*L23&lt;=6,"Low",IF(K23*L23&lt;=10,"Medium",IF(K23*L23&lt;=16,"High","Critical"))))</f>
        <v>High</v>
      </c>
      <c r="N23" s="69" t="s">
        <v>20</v>
      </c>
      <c r="O23" s="69" t="s">
        <v>13</v>
      </c>
      <c r="P23" s="69" t="s">
        <v>211</v>
      </c>
      <c r="Q23" s="69" t="s">
        <v>212</v>
      </c>
      <c r="R23" s="76" t="n">
        <v>46203</v>
      </c>
      <c r="S23" s="69" t="s">
        <v>213</v>
      </c>
      <c r="T23" s="69" t="n">
        <v>2</v>
      </c>
      <c r="U23" s="69" t="n">
        <v>4</v>
      </c>
      <c r="V23" s="71" t="str">
        <f aca="false">IF(T23*U23&lt;=3,"Very Low",IF(T23*U23&lt;=6,"Low",IF(T23*U23&lt;=10,"Medium",IF(T23*U23&lt;=16,"High","Critical"))))</f>
        <v>Medium</v>
      </c>
      <c r="W23" s="69" t="s">
        <v>214</v>
      </c>
      <c r="X23" s="76" t="n">
        <v>46118</v>
      </c>
      <c r="Y23" s="69" t="s">
        <v>215</v>
      </c>
      <c r="Z23" s="59"/>
      <c r="AA23" s="56"/>
      <c r="AB23" s="56"/>
      <c r="AC23" s="56"/>
      <c r="AD23" s="56"/>
      <c r="AE23" s="56"/>
      <c r="AF23" s="56"/>
      <c r="AG23" s="56"/>
      <c r="AH23" s="56"/>
      <c r="AI23" s="56"/>
      <c r="AJ23" s="56"/>
      <c r="AK23" s="56"/>
      <c r="AL23" s="56"/>
      <c r="AM23" s="56"/>
      <c r="AN23" s="56"/>
      <c r="AO23" s="56"/>
      <c r="AP23" s="56"/>
    </row>
    <row r="24" customFormat="false" ht="85.5" hidden="false" customHeight="true" outlineLevel="0" collapsed="false">
      <c r="A24" s="62" t="s">
        <v>124</v>
      </c>
      <c r="B24" s="65" t="n">
        <v>13</v>
      </c>
      <c r="C24" s="66" t="s">
        <v>12</v>
      </c>
      <c r="D24" s="66" t="s">
        <v>181</v>
      </c>
      <c r="E24" s="75" t="n">
        <v>46118</v>
      </c>
      <c r="F24" s="66" t="s">
        <v>216</v>
      </c>
      <c r="G24" s="66" t="s">
        <v>217</v>
      </c>
      <c r="H24" s="66" t="s">
        <v>42</v>
      </c>
      <c r="I24" s="66" t="s">
        <v>218</v>
      </c>
      <c r="J24" s="75" t="n">
        <v>46118</v>
      </c>
      <c r="K24" s="66" t="n">
        <v>3</v>
      </c>
      <c r="L24" s="66" t="n">
        <v>3</v>
      </c>
      <c r="M24" s="68" t="str">
        <f aca="false">IF(K24*L24&lt;=3,"Very Low",IF(K24*L24&lt;=6,"Low",IF(K24*L24&lt;=10,"Medium",IF(K24*L24&lt;=16,"High","Critical"))))</f>
        <v>Medium</v>
      </c>
      <c r="N24" s="66" t="s">
        <v>24</v>
      </c>
      <c r="O24" s="66" t="s">
        <v>13</v>
      </c>
      <c r="P24" s="66" t="s">
        <v>219</v>
      </c>
      <c r="Q24" s="66" t="s">
        <v>220</v>
      </c>
      <c r="R24" s="75" t="n">
        <v>46295</v>
      </c>
      <c r="S24" s="66" t="s">
        <v>221</v>
      </c>
      <c r="T24" s="66" t="n">
        <v>2</v>
      </c>
      <c r="U24" s="66" t="n">
        <v>3</v>
      </c>
      <c r="V24" s="68" t="str">
        <f aca="false">IF(T24*U24&lt;=3,"Very Low",IF(T24*U24&lt;=6,"Low",IF(T24*U24&lt;=10,"Medium",IF(T24*U24&lt;=16,"High","Critical"))))</f>
        <v>Low</v>
      </c>
      <c r="W24" s="66" t="s">
        <v>222</v>
      </c>
      <c r="X24" s="75" t="n">
        <v>46118</v>
      </c>
      <c r="Y24" s="66" t="s">
        <v>223</v>
      </c>
      <c r="Z24" s="59"/>
      <c r="AA24" s="56"/>
      <c r="AB24" s="56"/>
      <c r="AC24" s="56"/>
      <c r="AD24" s="56"/>
      <c r="AE24" s="56"/>
      <c r="AF24" s="56"/>
      <c r="AG24" s="56"/>
      <c r="AH24" s="56"/>
      <c r="AI24" s="56"/>
      <c r="AJ24" s="56"/>
      <c r="AK24" s="56"/>
      <c r="AL24" s="56"/>
      <c r="AM24" s="56"/>
      <c r="AN24" s="56"/>
      <c r="AO24" s="56"/>
      <c r="AP24" s="56"/>
    </row>
    <row r="25" customFormat="false" ht="85.5" hidden="false" customHeight="true" outlineLevel="0" collapsed="false">
      <c r="A25" s="72" t="s">
        <v>124</v>
      </c>
      <c r="B25" s="65"/>
      <c r="C25" s="66"/>
      <c r="D25" s="66"/>
      <c r="E25" s="73"/>
      <c r="F25" s="66"/>
      <c r="G25" s="66"/>
      <c r="H25" s="66"/>
      <c r="I25" s="66"/>
      <c r="J25" s="66"/>
      <c r="K25" s="66"/>
      <c r="L25" s="66"/>
      <c r="M25" s="68"/>
      <c r="N25" s="66"/>
      <c r="O25" s="66"/>
      <c r="P25" s="66"/>
      <c r="Q25" s="66"/>
      <c r="R25" s="66"/>
      <c r="S25" s="66"/>
      <c r="T25" s="66"/>
      <c r="U25" s="66"/>
      <c r="V25" s="68"/>
      <c r="W25" s="66"/>
      <c r="X25" s="66"/>
      <c r="Y25" s="66"/>
      <c r="Z25" s="59"/>
      <c r="AA25" s="56"/>
      <c r="AB25" s="56"/>
      <c r="AC25" s="56"/>
      <c r="AD25" s="56"/>
      <c r="AE25" s="56"/>
      <c r="AF25" s="56"/>
      <c r="AG25" s="56"/>
      <c r="AH25" s="56"/>
      <c r="AI25" s="56"/>
      <c r="AJ25" s="56"/>
      <c r="AK25" s="56"/>
      <c r="AL25" s="56"/>
      <c r="AM25" s="56"/>
      <c r="AN25" s="56"/>
      <c r="AO25" s="56"/>
      <c r="AP25" s="56"/>
    </row>
    <row r="26" customFormat="false" ht="85.5" hidden="false" customHeight="true" outlineLevel="0" collapsed="false">
      <c r="A26" s="72" t="s">
        <v>224</v>
      </c>
      <c r="B26" s="65"/>
      <c r="C26" s="66"/>
      <c r="D26" s="66"/>
      <c r="E26" s="73"/>
      <c r="F26" s="66"/>
      <c r="G26" s="66"/>
      <c r="H26" s="66"/>
      <c r="I26" s="66"/>
      <c r="J26" s="66"/>
      <c r="K26" s="66"/>
      <c r="L26" s="66"/>
      <c r="M26" s="68"/>
      <c r="N26" s="66"/>
      <c r="O26" s="66"/>
      <c r="P26" s="66"/>
      <c r="Q26" s="66"/>
      <c r="R26" s="66"/>
      <c r="S26" s="66"/>
      <c r="T26" s="66"/>
      <c r="U26" s="66"/>
      <c r="V26" s="68"/>
      <c r="W26" s="66"/>
      <c r="X26" s="66"/>
      <c r="Y26" s="66"/>
      <c r="Z26" s="59"/>
      <c r="AA26" s="56"/>
      <c r="AB26" s="56"/>
      <c r="AC26" s="56"/>
      <c r="AD26" s="56"/>
      <c r="AE26" s="56"/>
      <c r="AF26" s="56"/>
      <c r="AG26" s="56"/>
      <c r="AH26" s="56"/>
      <c r="AI26" s="56"/>
      <c r="AJ26" s="56"/>
      <c r="AK26" s="56"/>
      <c r="AL26" s="56"/>
      <c r="AM26" s="56"/>
      <c r="AN26" s="56"/>
      <c r="AO26" s="56"/>
      <c r="AP26" s="56"/>
    </row>
    <row r="27" customFormat="false" ht="85.5" hidden="false" customHeight="true" outlineLevel="0" collapsed="false">
      <c r="A27" s="72" t="s">
        <v>124</v>
      </c>
      <c r="B27" s="65"/>
      <c r="C27" s="66"/>
      <c r="D27" s="66"/>
      <c r="E27" s="73"/>
      <c r="F27" s="66"/>
      <c r="G27" s="66"/>
      <c r="H27" s="66"/>
      <c r="I27" s="66"/>
      <c r="J27" s="66"/>
      <c r="K27" s="66"/>
      <c r="L27" s="66"/>
      <c r="M27" s="68"/>
      <c r="N27" s="66"/>
      <c r="O27" s="66"/>
      <c r="P27" s="66"/>
      <c r="Q27" s="66"/>
      <c r="R27" s="66"/>
      <c r="S27" s="66"/>
      <c r="T27" s="66"/>
      <c r="U27" s="66"/>
      <c r="V27" s="68"/>
      <c r="W27" s="66"/>
      <c r="X27" s="66"/>
      <c r="Y27" s="66"/>
      <c r="Z27" s="59"/>
      <c r="AA27" s="56"/>
      <c r="AB27" s="56"/>
      <c r="AC27" s="56"/>
      <c r="AD27" s="56"/>
      <c r="AE27" s="56"/>
      <c r="AF27" s="56"/>
      <c r="AG27" s="56"/>
      <c r="AH27" s="56"/>
      <c r="AI27" s="56"/>
      <c r="AJ27" s="56"/>
      <c r="AK27" s="56"/>
      <c r="AL27" s="56"/>
      <c r="AM27" s="56"/>
      <c r="AN27" s="56"/>
      <c r="AO27" s="56"/>
      <c r="AP27" s="56"/>
    </row>
    <row r="28" customFormat="false" ht="85.5" hidden="false" customHeight="true" outlineLevel="0" collapsed="false">
      <c r="A28" s="72" t="s">
        <v>124</v>
      </c>
      <c r="B28" s="65"/>
      <c r="C28" s="66"/>
      <c r="D28" s="66"/>
      <c r="E28" s="73"/>
      <c r="F28" s="66"/>
      <c r="G28" s="66"/>
      <c r="H28" s="66"/>
      <c r="I28" s="66"/>
      <c r="J28" s="66"/>
      <c r="K28" s="66"/>
      <c r="L28" s="66"/>
      <c r="M28" s="68"/>
      <c r="N28" s="66"/>
      <c r="O28" s="66"/>
      <c r="P28" s="66"/>
      <c r="Q28" s="66"/>
      <c r="R28" s="66"/>
      <c r="S28" s="66"/>
      <c r="T28" s="66"/>
      <c r="U28" s="66"/>
      <c r="V28" s="68"/>
      <c r="W28" s="66"/>
      <c r="X28" s="66"/>
      <c r="Y28" s="66"/>
      <c r="Z28" s="59"/>
      <c r="AA28" s="56"/>
      <c r="AB28" s="56"/>
      <c r="AC28" s="56"/>
      <c r="AD28" s="56"/>
      <c r="AE28" s="56"/>
      <c r="AF28" s="56"/>
      <c r="AG28" s="56"/>
      <c r="AH28" s="56"/>
      <c r="AI28" s="56"/>
      <c r="AJ28" s="56"/>
      <c r="AK28" s="56"/>
      <c r="AL28" s="56"/>
      <c r="AM28" s="56"/>
      <c r="AN28" s="56"/>
      <c r="AO28" s="56"/>
      <c r="AP28" s="56"/>
    </row>
    <row r="29" customFormat="false" ht="85.5" hidden="false" customHeight="true" outlineLevel="0" collapsed="false">
      <c r="A29" s="72" t="s">
        <v>124</v>
      </c>
      <c r="B29" s="65"/>
      <c r="C29" s="66"/>
      <c r="D29" s="66"/>
      <c r="E29" s="73"/>
      <c r="F29" s="66"/>
      <c r="G29" s="66"/>
      <c r="H29" s="66"/>
      <c r="I29" s="66"/>
      <c r="J29" s="66"/>
      <c r="K29" s="66"/>
      <c r="L29" s="66"/>
      <c r="M29" s="68"/>
      <c r="N29" s="66"/>
      <c r="O29" s="66"/>
      <c r="P29" s="66"/>
      <c r="Q29" s="66"/>
      <c r="R29" s="66"/>
      <c r="S29" s="66"/>
      <c r="T29" s="66"/>
      <c r="U29" s="66"/>
      <c r="V29" s="68"/>
      <c r="W29" s="66"/>
      <c r="X29" s="66"/>
      <c r="Y29" s="66"/>
      <c r="Z29" s="59"/>
      <c r="AA29" s="56"/>
      <c r="AB29" s="56"/>
      <c r="AC29" s="56"/>
      <c r="AD29" s="56"/>
      <c r="AE29" s="56"/>
      <c r="AF29" s="56"/>
      <c r="AG29" s="56"/>
      <c r="AH29" s="56"/>
      <c r="AI29" s="56"/>
      <c r="AJ29" s="56"/>
      <c r="AK29" s="56"/>
      <c r="AL29" s="56"/>
      <c r="AM29" s="56"/>
      <c r="AN29" s="56"/>
      <c r="AO29" s="56"/>
      <c r="AP29" s="56"/>
    </row>
    <row r="30" customFormat="false" ht="14.25" hidden="false" customHeight="true" outlineLevel="0" collapsed="false">
      <c r="A30" s="56"/>
      <c r="B30" s="77"/>
      <c r="C30" s="78"/>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row>
    <row r="31" customFormat="false" ht="14.25" hidden="false" customHeight="true" outlineLevel="0" collapsed="false">
      <c r="A31" s="56"/>
      <c r="B31" s="77"/>
      <c r="C31" s="78"/>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row>
    <row r="32" customFormat="false" ht="14.25" hidden="false" customHeight="true" outlineLevel="0" collapsed="false">
      <c r="A32" s="56"/>
      <c r="B32" s="77"/>
      <c r="C32" s="78"/>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row>
    <row r="33" customFormat="false" ht="14.25" hidden="false" customHeight="true" outlineLevel="0" collapsed="false">
      <c r="A33" s="56"/>
      <c r="B33" s="77"/>
      <c r="C33" s="78"/>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row>
    <row r="34" customFormat="false" ht="14.25" hidden="false" customHeight="true" outlineLevel="0" collapsed="false">
      <c r="A34" s="56"/>
      <c r="B34" s="77"/>
      <c r="C34" s="78"/>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row>
    <row r="35" customFormat="false" ht="14.25" hidden="false" customHeight="true" outlineLevel="0" collapsed="false">
      <c r="A35" s="56"/>
      <c r="B35" s="77"/>
      <c r="C35" s="78"/>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row>
    <row r="36" customFormat="false" ht="14.25" hidden="false" customHeight="true" outlineLevel="0" collapsed="false">
      <c r="A36" s="56"/>
      <c r="B36" s="77"/>
      <c r="C36" s="78"/>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row>
    <row r="37" customFormat="false" ht="14.25" hidden="false" customHeight="true" outlineLevel="0" collapsed="false">
      <c r="A37" s="56"/>
      <c r="B37" s="77"/>
      <c r="C37" s="78"/>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row>
    <row r="38" customFormat="false" ht="14.25" hidden="false" customHeight="true" outlineLevel="0" collapsed="false">
      <c r="A38" s="56"/>
      <c r="B38" s="77"/>
      <c r="C38" s="78"/>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row>
    <row r="39" customFormat="false" ht="14.25" hidden="false" customHeight="true" outlineLevel="0" collapsed="false">
      <c r="A39" s="56"/>
      <c r="B39" s="77"/>
      <c r="C39" s="78"/>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row>
    <row r="40" customFormat="false" ht="14.25" hidden="false" customHeight="true" outlineLevel="0" collapsed="false">
      <c r="A40" s="56"/>
      <c r="B40" s="77"/>
      <c r="C40" s="78"/>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row>
    <row r="41" customFormat="false" ht="14.25" hidden="false" customHeight="true" outlineLevel="0" collapsed="false">
      <c r="A41" s="56"/>
      <c r="B41" s="77"/>
      <c r="C41" s="78"/>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row>
    <row r="42" customFormat="false" ht="14.25" hidden="false" customHeight="true" outlineLevel="0" collapsed="false">
      <c r="A42" s="56"/>
      <c r="B42" s="77"/>
      <c r="C42" s="78"/>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row>
    <row r="43" customFormat="false" ht="14.25" hidden="false" customHeight="true" outlineLevel="0" collapsed="false">
      <c r="A43" s="56"/>
      <c r="B43" s="77"/>
      <c r="C43" s="78"/>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row>
    <row r="44" customFormat="false" ht="14.25" hidden="false" customHeight="true" outlineLevel="0" collapsed="false">
      <c r="A44" s="56"/>
      <c r="B44" s="77"/>
      <c r="C44" s="78"/>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row>
    <row r="45" customFormat="false" ht="14.25" hidden="false" customHeight="true" outlineLevel="0" collapsed="false">
      <c r="A45" s="56"/>
      <c r="B45" s="77"/>
      <c r="C45" s="78"/>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row>
    <row r="46" customFormat="false" ht="14.25" hidden="false" customHeight="true" outlineLevel="0" collapsed="false">
      <c r="A46" s="56"/>
      <c r="B46" s="77"/>
      <c r="C46" s="78"/>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row>
    <row r="47" customFormat="false" ht="14.25" hidden="false" customHeight="true" outlineLevel="0" collapsed="false">
      <c r="A47" s="56"/>
      <c r="B47" s="77"/>
      <c r="C47" s="78"/>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row>
    <row r="48" customFormat="false" ht="14.25" hidden="false" customHeight="true" outlineLevel="0" collapsed="false">
      <c r="A48" s="56"/>
      <c r="B48" s="77"/>
      <c r="C48" s="78"/>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row>
    <row r="49" customFormat="false" ht="14.25" hidden="false" customHeight="true" outlineLevel="0" collapsed="false">
      <c r="A49" s="56"/>
      <c r="B49" s="77"/>
      <c r="C49" s="78"/>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row>
    <row r="50" customFormat="false" ht="14.25" hidden="false" customHeight="true" outlineLevel="0" collapsed="false">
      <c r="A50" s="56"/>
      <c r="B50" s="77"/>
      <c r="C50" s="78"/>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row>
    <row r="51" customFormat="false" ht="14.25" hidden="false" customHeight="true" outlineLevel="0" collapsed="false">
      <c r="A51" s="56"/>
      <c r="B51" s="77"/>
      <c r="C51" s="78"/>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row>
    <row r="52" customFormat="false" ht="14.25" hidden="false" customHeight="true" outlineLevel="0" collapsed="false">
      <c r="A52" s="56"/>
      <c r="B52" s="77"/>
      <c r="C52" s="78"/>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row>
    <row r="53" customFormat="false" ht="14.25" hidden="false" customHeight="true" outlineLevel="0" collapsed="false">
      <c r="A53" s="56"/>
      <c r="B53" s="77"/>
      <c r="C53" s="78"/>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row>
    <row r="54" customFormat="false" ht="14.25" hidden="false" customHeight="true" outlineLevel="0" collapsed="false">
      <c r="A54" s="56"/>
      <c r="B54" s="77"/>
      <c r="C54" s="78"/>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row>
    <row r="55" customFormat="false" ht="14.25" hidden="false" customHeight="true" outlineLevel="0" collapsed="false">
      <c r="A55" s="56"/>
      <c r="B55" s="77"/>
      <c r="C55" s="78"/>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row>
    <row r="56" customFormat="false" ht="14.25" hidden="false" customHeight="true" outlineLevel="0" collapsed="false">
      <c r="A56" s="56"/>
      <c r="B56" s="77"/>
      <c r="C56" s="78"/>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row>
    <row r="57" customFormat="false" ht="14.25" hidden="false" customHeight="true" outlineLevel="0" collapsed="false">
      <c r="A57" s="56"/>
      <c r="B57" s="77"/>
      <c r="C57" s="78"/>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row>
    <row r="58" customFormat="false" ht="14.25" hidden="false" customHeight="true" outlineLevel="0" collapsed="false">
      <c r="A58" s="56"/>
      <c r="B58" s="77"/>
      <c r="C58" s="78"/>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row>
    <row r="59" customFormat="false" ht="14.25" hidden="false" customHeight="true" outlineLevel="0" collapsed="false">
      <c r="A59" s="56"/>
      <c r="B59" s="77"/>
      <c r="C59" s="78"/>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row>
    <row r="60" customFormat="false" ht="14.25" hidden="false" customHeight="true" outlineLevel="0" collapsed="false">
      <c r="A60" s="56"/>
      <c r="B60" s="77"/>
      <c r="C60" s="78"/>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row>
    <row r="61" customFormat="false" ht="14.25" hidden="false" customHeight="true" outlineLevel="0" collapsed="false">
      <c r="A61" s="56"/>
      <c r="B61" s="77"/>
      <c r="C61" s="78"/>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row>
    <row r="62" customFormat="false" ht="14.25" hidden="false" customHeight="true" outlineLevel="0" collapsed="false">
      <c r="A62" s="56"/>
      <c r="B62" s="77"/>
      <c r="C62" s="78"/>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row>
    <row r="63" customFormat="false" ht="14.25" hidden="false" customHeight="true" outlineLevel="0" collapsed="false">
      <c r="A63" s="56"/>
      <c r="B63" s="77"/>
      <c r="C63" s="78"/>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row>
    <row r="64" customFormat="false" ht="14.25" hidden="false" customHeight="true" outlineLevel="0" collapsed="false">
      <c r="A64" s="56"/>
      <c r="B64" s="77"/>
      <c r="C64" s="78"/>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row>
    <row r="65" customFormat="false" ht="14.25" hidden="false" customHeight="true" outlineLevel="0" collapsed="false">
      <c r="A65" s="56"/>
      <c r="B65" s="77"/>
      <c r="C65" s="78"/>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row>
    <row r="66" customFormat="false" ht="14.25" hidden="false" customHeight="true" outlineLevel="0" collapsed="false">
      <c r="A66" s="56"/>
      <c r="B66" s="77"/>
      <c r="C66" s="78"/>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row>
    <row r="67" customFormat="false" ht="14.25" hidden="false" customHeight="true" outlineLevel="0" collapsed="false">
      <c r="A67" s="56"/>
      <c r="B67" s="77"/>
      <c r="C67" s="78"/>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row>
    <row r="68" customFormat="false" ht="14.25" hidden="false" customHeight="true" outlineLevel="0" collapsed="false">
      <c r="A68" s="56"/>
      <c r="B68" s="77"/>
      <c r="C68" s="78"/>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row>
    <row r="69" customFormat="false" ht="14.25" hidden="false" customHeight="true" outlineLevel="0" collapsed="false">
      <c r="A69" s="56"/>
      <c r="B69" s="77"/>
      <c r="C69" s="78"/>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row>
    <row r="70" customFormat="false" ht="14.25" hidden="false" customHeight="true" outlineLevel="0" collapsed="false">
      <c r="A70" s="56"/>
      <c r="B70" s="77"/>
      <c r="C70" s="78"/>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row>
    <row r="71" customFormat="false" ht="14.25" hidden="false" customHeight="true" outlineLevel="0" collapsed="false">
      <c r="A71" s="56"/>
      <c r="B71" s="77"/>
      <c r="C71" s="78"/>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row>
    <row r="72" customFormat="false" ht="14.25" hidden="false" customHeight="true" outlineLevel="0" collapsed="false">
      <c r="A72" s="56"/>
      <c r="B72" s="77"/>
      <c r="C72" s="78"/>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row>
    <row r="73" customFormat="false" ht="14.25" hidden="false" customHeight="true" outlineLevel="0" collapsed="false">
      <c r="A73" s="56"/>
      <c r="B73" s="77"/>
      <c r="C73" s="78"/>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row>
    <row r="74" customFormat="false" ht="14.25" hidden="false" customHeight="true" outlineLevel="0" collapsed="false">
      <c r="A74" s="56"/>
      <c r="B74" s="77"/>
      <c r="C74" s="78"/>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row>
    <row r="75" customFormat="false" ht="14.25" hidden="false" customHeight="true" outlineLevel="0" collapsed="false">
      <c r="A75" s="56"/>
      <c r="B75" s="77"/>
      <c r="C75" s="78"/>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row>
    <row r="76" customFormat="false" ht="14.25" hidden="false" customHeight="true" outlineLevel="0" collapsed="false">
      <c r="A76" s="56"/>
      <c r="B76" s="77"/>
      <c r="C76" s="78"/>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row>
    <row r="77" customFormat="false" ht="14.25" hidden="false" customHeight="true" outlineLevel="0" collapsed="false">
      <c r="A77" s="56"/>
      <c r="B77" s="77"/>
      <c r="C77" s="78"/>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row>
    <row r="78" customFormat="false" ht="14.25" hidden="false" customHeight="true" outlineLevel="0" collapsed="false">
      <c r="A78" s="56"/>
      <c r="B78" s="77"/>
      <c r="C78" s="78"/>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row>
    <row r="79" customFormat="false" ht="14.25" hidden="false" customHeight="true" outlineLevel="0" collapsed="false">
      <c r="A79" s="56"/>
      <c r="B79" s="77"/>
      <c r="C79" s="78"/>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row>
    <row r="80" customFormat="false" ht="14.25" hidden="false" customHeight="true" outlineLevel="0" collapsed="false">
      <c r="A80" s="56"/>
      <c r="B80" s="77"/>
      <c r="C80" s="78"/>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row>
    <row r="81" customFormat="false" ht="14.25" hidden="false" customHeight="true" outlineLevel="0" collapsed="false">
      <c r="A81" s="56"/>
      <c r="B81" s="77"/>
      <c r="C81" s="78"/>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row>
    <row r="82" customFormat="false" ht="14.25" hidden="false" customHeight="true" outlineLevel="0" collapsed="false">
      <c r="A82" s="56"/>
      <c r="B82" s="77"/>
      <c r="C82" s="78"/>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56"/>
      <c r="AL82" s="56"/>
      <c r="AM82" s="56"/>
      <c r="AN82" s="56"/>
      <c r="AO82" s="56"/>
      <c r="AP82" s="56"/>
    </row>
    <row r="83" customFormat="false" ht="14.25" hidden="false" customHeight="true" outlineLevel="0" collapsed="false">
      <c r="A83" s="56"/>
      <c r="B83" s="77"/>
      <c r="C83" s="78"/>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56"/>
      <c r="AL83" s="56"/>
      <c r="AM83" s="56"/>
      <c r="AN83" s="56"/>
      <c r="AO83" s="56"/>
      <c r="AP83" s="56"/>
    </row>
    <row r="84" customFormat="false" ht="14.25" hidden="false" customHeight="true" outlineLevel="0" collapsed="false">
      <c r="A84" s="56"/>
      <c r="B84" s="77"/>
      <c r="C84" s="78"/>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56"/>
      <c r="AL84" s="56"/>
      <c r="AM84" s="56"/>
      <c r="AN84" s="56"/>
      <c r="AO84" s="56"/>
      <c r="AP84" s="56"/>
    </row>
    <row r="85" customFormat="false" ht="14.25" hidden="false" customHeight="true" outlineLevel="0" collapsed="false">
      <c r="A85" s="56"/>
      <c r="B85" s="77"/>
      <c r="C85" s="78"/>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56"/>
      <c r="AL85" s="56"/>
      <c r="AM85" s="56"/>
      <c r="AN85" s="56"/>
      <c r="AO85" s="56"/>
      <c r="AP85" s="56"/>
    </row>
    <row r="86" customFormat="false" ht="14.25" hidden="false" customHeight="true" outlineLevel="0" collapsed="false">
      <c r="A86" s="56"/>
      <c r="B86" s="77"/>
      <c r="C86" s="78"/>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56"/>
      <c r="AL86" s="56"/>
      <c r="AM86" s="56"/>
      <c r="AN86" s="56"/>
      <c r="AO86" s="56"/>
      <c r="AP86" s="56"/>
    </row>
    <row r="87" customFormat="false" ht="14.25" hidden="false" customHeight="true" outlineLevel="0" collapsed="false">
      <c r="A87" s="56"/>
      <c r="B87" s="77"/>
      <c r="C87" s="78"/>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56"/>
      <c r="AL87" s="56"/>
      <c r="AM87" s="56"/>
      <c r="AN87" s="56"/>
      <c r="AO87" s="56"/>
      <c r="AP87" s="56"/>
    </row>
    <row r="88" customFormat="false" ht="14.25" hidden="false" customHeight="true" outlineLevel="0" collapsed="false">
      <c r="A88" s="56"/>
      <c r="B88" s="77"/>
      <c r="C88" s="78"/>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56"/>
      <c r="AL88" s="56"/>
      <c r="AM88" s="56"/>
      <c r="AN88" s="56"/>
      <c r="AO88" s="56"/>
      <c r="AP88" s="56"/>
    </row>
    <row r="89" customFormat="false" ht="14.25" hidden="false" customHeight="true" outlineLevel="0" collapsed="false">
      <c r="A89" s="56"/>
      <c r="B89" s="77"/>
      <c r="C89" s="78"/>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56"/>
      <c r="AL89" s="56"/>
      <c r="AM89" s="56"/>
      <c r="AN89" s="56"/>
      <c r="AO89" s="56"/>
      <c r="AP89" s="56"/>
    </row>
    <row r="90" customFormat="false" ht="14.25" hidden="false" customHeight="true" outlineLevel="0" collapsed="false">
      <c r="A90" s="56"/>
      <c r="B90" s="77"/>
      <c r="C90" s="78"/>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56"/>
      <c r="AL90" s="56"/>
      <c r="AM90" s="56"/>
      <c r="AN90" s="56"/>
      <c r="AO90" s="56"/>
      <c r="AP90" s="56"/>
    </row>
    <row r="91" customFormat="false" ht="14.25" hidden="false" customHeight="true" outlineLevel="0" collapsed="false">
      <c r="A91" s="56"/>
      <c r="B91" s="77"/>
      <c r="C91" s="78"/>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56"/>
      <c r="AL91" s="56"/>
      <c r="AM91" s="56"/>
      <c r="AN91" s="56"/>
      <c r="AO91" s="56"/>
      <c r="AP91" s="56"/>
    </row>
    <row r="92" customFormat="false" ht="14.25" hidden="false" customHeight="true" outlineLevel="0" collapsed="false">
      <c r="A92" s="56"/>
      <c r="B92" s="77"/>
      <c r="C92" s="78"/>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56"/>
      <c r="AL92" s="56"/>
      <c r="AM92" s="56"/>
      <c r="AN92" s="56"/>
      <c r="AO92" s="56"/>
      <c r="AP92" s="56"/>
    </row>
    <row r="93" customFormat="false" ht="14.25" hidden="false" customHeight="true" outlineLevel="0" collapsed="false">
      <c r="A93" s="56"/>
      <c r="B93" s="77"/>
      <c r="C93" s="78"/>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56"/>
      <c r="AL93" s="56"/>
      <c r="AM93" s="56"/>
      <c r="AN93" s="56"/>
      <c r="AO93" s="56"/>
      <c r="AP93" s="56"/>
    </row>
    <row r="94" customFormat="false" ht="14.25" hidden="false" customHeight="true" outlineLevel="0" collapsed="false">
      <c r="A94" s="56"/>
      <c r="B94" s="77"/>
      <c r="C94" s="78"/>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56"/>
      <c r="AL94" s="56"/>
      <c r="AM94" s="56"/>
      <c r="AN94" s="56"/>
      <c r="AO94" s="56"/>
      <c r="AP94" s="56"/>
    </row>
    <row r="95" customFormat="false" ht="14.25" hidden="false" customHeight="true" outlineLevel="0" collapsed="false">
      <c r="A95" s="56"/>
      <c r="B95" s="77"/>
      <c r="C95" s="78"/>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56"/>
      <c r="AL95" s="56"/>
      <c r="AM95" s="56"/>
      <c r="AN95" s="56"/>
      <c r="AO95" s="56"/>
      <c r="AP95" s="56"/>
    </row>
    <row r="96" customFormat="false" ht="14.25" hidden="false" customHeight="true" outlineLevel="0" collapsed="false">
      <c r="A96" s="56"/>
      <c r="B96" s="77"/>
      <c r="C96" s="78"/>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56"/>
      <c r="AL96" s="56"/>
      <c r="AM96" s="56"/>
      <c r="AN96" s="56"/>
      <c r="AO96" s="56"/>
      <c r="AP96" s="56"/>
    </row>
    <row r="97" customFormat="false" ht="14.25" hidden="false" customHeight="true" outlineLevel="0" collapsed="false">
      <c r="A97" s="56"/>
      <c r="B97" s="77"/>
      <c r="C97" s="78"/>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56"/>
      <c r="AL97" s="56"/>
      <c r="AM97" s="56"/>
      <c r="AN97" s="56"/>
      <c r="AO97" s="56"/>
      <c r="AP97" s="56"/>
    </row>
    <row r="98" customFormat="false" ht="14.25" hidden="false" customHeight="true" outlineLevel="0" collapsed="false">
      <c r="A98" s="56"/>
      <c r="B98" s="77"/>
      <c r="C98" s="78"/>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56"/>
      <c r="AL98" s="56"/>
      <c r="AM98" s="56"/>
      <c r="AN98" s="56"/>
      <c r="AO98" s="56"/>
      <c r="AP98" s="56"/>
    </row>
    <row r="99" customFormat="false" ht="14.25" hidden="false" customHeight="true" outlineLevel="0" collapsed="false">
      <c r="A99" s="56"/>
      <c r="B99" s="77"/>
      <c r="C99" s="78"/>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56"/>
      <c r="AL99" s="56"/>
      <c r="AM99" s="56"/>
      <c r="AN99" s="56"/>
      <c r="AO99" s="56"/>
      <c r="AP99" s="56"/>
    </row>
    <row r="100" customFormat="false" ht="14.25" hidden="false" customHeight="true" outlineLevel="0" collapsed="false">
      <c r="A100" s="56"/>
      <c r="B100" s="77"/>
      <c r="C100" s="78"/>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56"/>
      <c r="AL100" s="56"/>
      <c r="AM100" s="56"/>
      <c r="AN100" s="56"/>
      <c r="AO100" s="56"/>
      <c r="AP100" s="56"/>
    </row>
    <row r="101" customFormat="false" ht="14.25" hidden="false" customHeight="true" outlineLevel="0" collapsed="false">
      <c r="A101" s="56"/>
      <c r="B101" s="77"/>
      <c r="C101" s="78"/>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56"/>
      <c r="AL101" s="56"/>
      <c r="AM101" s="56"/>
      <c r="AN101" s="56"/>
      <c r="AO101" s="56"/>
      <c r="AP101" s="56"/>
    </row>
    <row r="102" customFormat="false" ht="14.25" hidden="false" customHeight="true" outlineLevel="0" collapsed="false">
      <c r="A102" s="56"/>
      <c r="B102" s="77"/>
      <c r="C102" s="78"/>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56"/>
      <c r="AL102" s="56"/>
      <c r="AM102" s="56"/>
      <c r="AN102" s="56"/>
      <c r="AO102" s="56"/>
      <c r="AP102" s="56"/>
    </row>
    <row r="103" customFormat="false" ht="14.25" hidden="false" customHeight="true" outlineLevel="0" collapsed="false">
      <c r="A103" s="56"/>
      <c r="B103" s="77"/>
      <c r="C103" s="78"/>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56"/>
      <c r="AL103" s="56"/>
      <c r="AM103" s="56"/>
      <c r="AN103" s="56"/>
      <c r="AO103" s="56"/>
      <c r="AP103" s="56"/>
    </row>
    <row r="104" customFormat="false" ht="14.25" hidden="false" customHeight="true" outlineLevel="0" collapsed="false">
      <c r="A104" s="56"/>
      <c r="B104" s="77"/>
      <c r="C104" s="78"/>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56"/>
      <c r="AL104" s="56"/>
      <c r="AM104" s="56"/>
      <c r="AN104" s="56"/>
      <c r="AO104" s="56"/>
      <c r="AP104" s="56"/>
    </row>
    <row r="105" customFormat="false" ht="14.25" hidden="false" customHeight="true" outlineLevel="0" collapsed="false">
      <c r="A105" s="56"/>
      <c r="B105" s="77"/>
      <c r="C105" s="78"/>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56"/>
      <c r="AL105" s="56"/>
      <c r="AM105" s="56"/>
      <c r="AN105" s="56"/>
      <c r="AO105" s="56"/>
      <c r="AP105" s="56"/>
    </row>
    <row r="106" customFormat="false" ht="14.25" hidden="false" customHeight="true" outlineLevel="0" collapsed="false">
      <c r="A106" s="56"/>
      <c r="B106" s="77"/>
      <c r="C106" s="78"/>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56"/>
      <c r="AL106" s="56"/>
      <c r="AM106" s="56"/>
      <c r="AN106" s="56"/>
      <c r="AO106" s="56"/>
      <c r="AP106" s="56"/>
    </row>
    <row r="107" customFormat="false" ht="14.25" hidden="false" customHeight="true" outlineLevel="0" collapsed="false">
      <c r="A107" s="56"/>
      <c r="B107" s="77"/>
      <c r="C107" s="78"/>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56"/>
      <c r="AL107" s="56"/>
      <c r="AM107" s="56"/>
      <c r="AN107" s="56"/>
      <c r="AO107" s="56"/>
      <c r="AP107" s="56"/>
    </row>
    <row r="108" customFormat="false" ht="14.25" hidden="false" customHeight="true" outlineLevel="0" collapsed="false">
      <c r="A108" s="56"/>
      <c r="B108" s="77"/>
      <c r="C108" s="78"/>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56"/>
      <c r="AL108" s="56"/>
      <c r="AM108" s="56"/>
      <c r="AN108" s="56"/>
      <c r="AO108" s="56"/>
      <c r="AP108" s="56"/>
    </row>
    <row r="109" customFormat="false" ht="14.25" hidden="false" customHeight="true" outlineLevel="0" collapsed="false">
      <c r="A109" s="56"/>
      <c r="B109" s="77"/>
      <c r="C109" s="78"/>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56"/>
      <c r="AL109" s="56"/>
      <c r="AM109" s="56"/>
      <c r="AN109" s="56"/>
      <c r="AO109" s="56"/>
      <c r="AP109" s="56"/>
    </row>
    <row r="110" customFormat="false" ht="14.25" hidden="false" customHeight="true" outlineLevel="0" collapsed="false">
      <c r="A110" s="56"/>
      <c r="B110" s="77"/>
      <c r="C110" s="78"/>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56"/>
      <c r="AL110" s="56"/>
      <c r="AM110" s="56"/>
      <c r="AN110" s="56"/>
      <c r="AO110" s="56"/>
      <c r="AP110" s="56"/>
    </row>
    <row r="111" customFormat="false" ht="14.25" hidden="false" customHeight="true" outlineLevel="0" collapsed="false">
      <c r="A111" s="56"/>
      <c r="B111" s="77"/>
      <c r="C111" s="78"/>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56"/>
      <c r="AL111" s="56"/>
      <c r="AM111" s="56"/>
      <c r="AN111" s="56"/>
      <c r="AO111" s="56"/>
      <c r="AP111" s="56"/>
    </row>
    <row r="112" customFormat="false" ht="14.25" hidden="false" customHeight="true" outlineLevel="0" collapsed="false">
      <c r="A112" s="56"/>
      <c r="B112" s="77"/>
      <c r="C112" s="78"/>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56"/>
      <c r="AL112" s="56"/>
      <c r="AM112" s="56"/>
      <c r="AN112" s="56"/>
      <c r="AO112" s="56"/>
      <c r="AP112" s="56"/>
    </row>
    <row r="113" customFormat="false" ht="14.25" hidden="false" customHeight="true" outlineLevel="0" collapsed="false">
      <c r="A113" s="56"/>
      <c r="B113" s="77"/>
      <c r="C113" s="78"/>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56"/>
      <c r="AL113" s="56"/>
      <c r="AM113" s="56"/>
      <c r="AN113" s="56"/>
      <c r="AO113" s="56"/>
      <c r="AP113" s="56"/>
    </row>
    <row r="114" customFormat="false" ht="14.25" hidden="false" customHeight="true" outlineLevel="0" collapsed="false">
      <c r="A114" s="56"/>
      <c r="B114" s="77"/>
      <c r="C114" s="78"/>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56"/>
      <c r="AL114" s="56"/>
      <c r="AM114" s="56"/>
      <c r="AN114" s="56"/>
      <c r="AO114" s="56"/>
      <c r="AP114" s="56"/>
    </row>
    <row r="115" customFormat="false" ht="14.25" hidden="false" customHeight="true" outlineLevel="0" collapsed="false">
      <c r="A115" s="56"/>
      <c r="B115" s="77"/>
      <c r="C115" s="78"/>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56"/>
      <c r="AL115" s="56"/>
      <c r="AM115" s="56"/>
      <c r="AN115" s="56"/>
      <c r="AO115" s="56"/>
      <c r="AP115" s="56"/>
    </row>
    <row r="116" customFormat="false" ht="14.25" hidden="false" customHeight="true" outlineLevel="0" collapsed="false">
      <c r="A116" s="56"/>
      <c r="B116" s="77"/>
      <c r="C116" s="78"/>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56"/>
      <c r="AL116" s="56"/>
      <c r="AM116" s="56"/>
      <c r="AN116" s="56"/>
      <c r="AO116" s="56"/>
      <c r="AP116" s="56"/>
    </row>
    <row r="117" customFormat="false" ht="14.25" hidden="false" customHeight="true" outlineLevel="0" collapsed="false">
      <c r="A117" s="56"/>
      <c r="B117" s="77"/>
      <c r="C117" s="78"/>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56"/>
      <c r="AL117" s="56"/>
      <c r="AM117" s="56"/>
      <c r="AN117" s="56"/>
      <c r="AO117" s="56"/>
      <c r="AP117" s="56"/>
    </row>
    <row r="118" customFormat="false" ht="14.25" hidden="false" customHeight="true" outlineLevel="0" collapsed="false">
      <c r="A118" s="56"/>
      <c r="B118" s="77"/>
      <c r="C118" s="78"/>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56"/>
      <c r="AL118" s="56"/>
      <c r="AM118" s="56"/>
      <c r="AN118" s="56"/>
      <c r="AO118" s="56"/>
      <c r="AP118" s="56"/>
    </row>
    <row r="119" customFormat="false" ht="14.25" hidden="false" customHeight="true" outlineLevel="0" collapsed="false">
      <c r="A119" s="56"/>
      <c r="B119" s="77"/>
      <c r="C119" s="78"/>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56"/>
      <c r="AL119" s="56"/>
      <c r="AM119" s="56"/>
      <c r="AN119" s="56"/>
      <c r="AO119" s="56"/>
      <c r="AP119" s="56"/>
    </row>
    <row r="120" customFormat="false" ht="14.25" hidden="false" customHeight="true" outlineLevel="0" collapsed="false">
      <c r="A120" s="56"/>
      <c r="B120" s="77"/>
      <c r="C120" s="78"/>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c r="AI120" s="77"/>
      <c r="AJ120" s="77"/>
      <c r="AK120" s="56"/>
      <c r="AL120" s="56"/>
      <c r="AM120" s="56"/>
      <c r="AN120" s="56"/>
      <c r="AO120" s="56"/>
      <c r="AP120" s="56"/>
    </row>
    <row r="121" customFormat="false" ht="14.25" hidden="false" customHeight="true" outlineLevel="0" collapsed="false">
      <c r="A121" s="56"/>
      <c r="B121" s="77"/>
      <c r="C121" s="78"/>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c r="AJ121" s="77"/>
      <c r="AK121" s="56"/>
      <c r="AL121" s="56"/>
      <c r="AM121" s="56"/>
      <c r="AN121" s="56"/>
      <c r="AO121" s="56"/>
      <c r="AP121" s="56"/>
    </row>
    <row r="122" customFormat="false" ht="14.25" hidden="false" customHeight="true" outlineLevel="0" collapsed="false">
      <c r="A122" s="56"/>
      <c r="B122" s="77"/>
      <c r="C122" s="78"/>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56"/>
      <c r="AL122" s="56"/>
      <c r="AM122" s="56"/>
      <c r="AN122" s="56"/>
      <c r="AO122" s="56"/>
      <c r="AP122" s="56"/>
    </row>
    <row r="123" customFormat="false" ht="14.25" hidden="false" customHeight="true" outlineLevel="0" collapsed="false">
      <c r="A123" s="56"/>
      <c r="B123" s="77"/>
      <c r="C123" s="78"/>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56"/>
      <c r="AL123" s="56"/>
      <c r="AM123" s="56"/>
      <c r="AN123" s="56"/>
      <c r="AO123" s="56"/>
      <c r="AP123" s="56"/>
    </row>
    <row r="124" customFormat="false" ht="14.25" hidden="false" customHeight="true" outlineLevel="0" collapsed="false">
      <c r="A124" s="56"/>
      <c r="B124" s="77"/>
      <c r="C124" s="78"/>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56"/>
      <c r="AL124" s="56"/>
      <c r="AM124" s="56"/>
      <c r="AN124" s="56"/>
      <c r="AO124" s="56"/>
      <c r="AP124" s="56"/>
    </row>
    <row r="125" customFormat="false" ht="14.25" hidden="false" customHeight="true" outlineLevel="0" collapsed="false">
      <c r="A125" s="56"/>
      <c r="B125" s="77"/>
      <c r="C125" s="78"/>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56"/>
      <c r="AL125" s="56"/>
      <c r="AM125" s="56"/>
      <c r="AN125" s="56"/>
      <c r="AO125" s="56"/>
      <c r="AP125" s="56"/>
    </row>
    <row r="126" customFormat="false" ht="14.25" hidden="false" customHeight="true" outlineLevel="0" collapsed="false">
      <c r="A126" s="56"/>
      <c r="B126" s="77"/>
      <c r="C126" s="78"/>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56"/>
      <c r="AL126" s="56"/>
      <c r="AM126" s="56"/>
      <c r="AN126" s="56"/>
      <c r="AO126" s="56"/>
      <c r="AP126" s="56"/>
    </row>
    <row r="127" customFormat="false" ht="14.25" hidden="false" customHeight="true" outlineLevel="0" collapsed="false">
      <c r="A127" s="56"/>
      <c r="B127" s="77"/>
      <c r="C127" s="78"/>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77"/>
      <c r="AI127" s="77"/>
      <c r="AJ127" s="77"/>
      <c r="AK127" s="56"/>
      <c r="AL127" s="56"/>
      <c r="AM127" s="56"/>
      <c r="AN127" s="56"/>
      <c r="AO127" s="56"/>
      <c r="AP127" s="56"/>
    </row>
    <row r="128" customFormat="false" ht="14.25" hidden="false" customHeight="true" outlineLevel="0" collapsed="false">
      <c r="A128" s="56"/>
      <c r="B128" s="77"/>
      <c r="C128" s="78"/>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56"/>
      <c r="AL128" s="56"/>
      <c r="AM128" s="56"/>
      <c r="AN128" s="56"/>
      <c r="AO128" s="56"/>
      <c r="AP128" s="56"/>
    </row>
    <row r="129" customFormat="false" ht="14.25" hidden="false" customHeight="true" outlineLevel="0" collapsed="false">
      <c r="A129" s="56"/>
      <c r="B129" s="77"/>
      <c r="C129" s="78"/>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56"/>
      <c r="AL129" s="56"/>
      <c r="AM129" s="56"/>
      <c r="AN129" s="56"/>
      <c r="AO129" s="56"/>
      <c r="AP129" s="56"/>
    </row>
    <row r="130" customFormat="false" ht="14.25" hidden="false" customHeight="true" outlineLevel="0" collapsed="false">
      <c r="A130" s="56"/>
      <c r="B130" s="77"/>
      <c r="C130" s="78"/>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c r="AI130" s="77"/>
      <c r="AJ130" s="77"/>
      <c r="AK130" s="56"/>
      <c r="AL130" s="56"/>
      <c r="AM130" s="56"/>
      <c r="AN130" s="56"/>
      <c r="AO130" s="56"/>
      <c r="AP130" s="56"/>
    </row>
    <row r="131" customFormat="false" ht="14.25" hidden="false" customHeight="true" outlineLevel="0" collapsed="false">
      <c r="A131" s="56"/>
      <c r="B131" s="77"/>
      <c r="C131" s="78"/>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77"/>
      <c r="AI131" s="77"/>
      <c r="AJ131" s="77"/>
      <c r="AK131" s="56"/>
      <c r="AL131" s="56"/>
      <c r="AM131" s="56"/>
      <c r="AN131" s="56"/>
      <c r="AO131" s="56"/>
      <c r="AP131" s="56"/>
    </row>
    <row r="132" customFormat="false" ht="14.25" hidden="false" customHeight="true" outlineLevel="0" collapsed="false">
      <c r="A132" s="56"/>
      <c r="B132" s="77"/>
      <c r="C132" s="78"/>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c r="AI132" s="77"/>
      <c r="AJ132" s="77"/>
      <c r="AK132" s="56"/>
      <c r="AL132" s="56"/>
      <c r="AM132" s="56"/>
      <c r="AN132" s="56"/>
      <c r="AO132" s="56"/>
      <c r="AP132" s="56"/>
    </row>
    <row r="133" customFormat="false" ht="14.25" hidden="false" customHeight="true" outlineLevel="0" collapsed="false">
      <c r="A133" s="56"/>
      <c r="B133" s="77"/>
      <c r="C133" s="78"/>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7"/>
      <c r="AF133" s="77"/>
      <c r="AG133" s="77"/>
      <c r="AH133" s="77"/>
      <c r="AI133" s="77"/>
      <c r="AJ133" s="77"/>
      <c r="AK133" s="56"/>
      <c r="AL133" s="56"/>
      <c r="AM133" s="56"/>
      <c r="AN133" s="56"/>
      <c r="AO133" s="56"/>
      <c r="AP133" s="56"/>
    </row>
    <row r="134" customFormat="false" ht="14.25" hidden="false" customHeight="true" outlineLevel="0" collapsed="false">
      <c r="A134" s="56"/>
      <c r="B134" s="77"/>
      <c r="C134" s="78"/>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c r="AI134" s="77"/>
      <c r="AJ134" s="77"/>
      <c r="AK134" s="56"/>
      <c r="AL134" s="56"/>
      <c r="AM134" s="56"/>
      <c r="AN134" s="56"/>
      <c r="AO134" s="56"/>
      <c r="AP134" s="56"/>
    </row>
    <row r="135" customFormat="false" ht="14.25" hidden="false" customHeight="true" outlineLevel="0" collapsed="false">
      <c r="A135" s="56"/>
      <c r="B135" s="77"/>
      <c r="C135" s="78"/>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77"/>
      <c r="AI135" s="77"/>
      <c r="AJ135" s="77"/>
      <c r="AK135" s="56"/>
      <c r="AL135" s="56"/>
      <c r="AM135" s="56"/>
      <c r="AN135" s="56"/>
      <c r="AO135" s="56"/>
      <c r="AP135" s="56"/>
    </row>
    <row r="136" customFormat="false" ht="14.25" hidden="false" customHeight="true" outlineLevel="0" collapsed="false">
      <c r="A136" s="56"/>
      <c r="B136" s="77"/>
      <c r="C136" s="78"/>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56"/>
      <c r="AL136" s="56"/>
      <c r="AM136" s="56"/>
      <c r="AN136" s="56"/>
      <c r="AO136" s="56"/>
      <c r="AP136" s="56"/>
    </row>
    <row r="137" customFormat="false" ht="14.25" hidden="false" customHeight="true" outlineLevel="0" collapsed="false">
      <c r="A137" s="56"/>
      <c r="B137" s="77"/>
      <c r="C137" s="78"/>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77"/>
      <c r="AI137" s="77"/>
      <c r="AJ137" s="77"/>
      <c r="AK137" s="56"/>
      <c r="AL137" s="56"/>
      <c r="AM137" s="56"/>
      <c r="AN137" s="56"/>
      <c r="AO137" s="56"/>
      <c r="AP137" s="56"/>
    </row>
    <row r="138" customFormat="false" ht="14.25" hidden="false" customHeight="true" outlineLevel="0" collapsed="false">
      <c r="A138" s="56"/>
      <c r="B138" s="77"/>
      <c r="C138" s="78"/>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c r="AI138" s="77"/>
      <c r="AJ138" s="77"/>
      <c r="AK138" s="56"/>
      <c r="AL138" s="56"/>
      <c r="AM138" s="56"/>
      <c r="AN138" s="56"/>
      <c r="AO138" s="56"/>
      <c r="AP138" s="56"/>
    </row>
    <row r="139" customFormat="false" ht="14.25" hidden="false" customHeight="true" outlineLevel="0" collapsed="false">
      <c r="A139" s="56"/>
      <c r="B139" s="77"/>
      <c r="C139" s="78"/>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77"/>
      <c r="AI139" s="77"/>
      <c r="AJ139" s="77"/>
      <c r="AK139" s="56"/>
      <c r="AL139" s="56"/>
      <c r="AM139" s="56"/>
      <c r="AN139" s="56"/>
      <c r="AO139" s="56"/>
      <c r="AP139" s="56"/>
    </row>
    <row r="140" customFormat="false" ht="14.25" hidden="false" customHeight="true" outlineLevel="0" collapsed="false">
      <c r="A140" s="56"/>
      <c r="B140" s="77"/>
      <c r="C140" s="78"/>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56"/>
      <c r="AL140" s="56"/>
      <c r="AM140" s="56"/>
      <c r="AN140" s="56"/>
      <c r="AO140" s="56"/>
      <c r="AP140" s="56"/>
    </row>
    <row r="141" customFormat="false" ht="14.25" hidden="false" customHeight="true" outlineLevel="0" collapsed="false">
      <c r="A141" s="56"/>
      <c r="B141" s="77"/>
      <c r="C141" s="78"/>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c r="AK141" s="56"/>
      <c r="AL141" s="56"/>
      <c r="AM141" s="56"/>
      <c r="AN141" s="56"/>
      <c r="AO141" s="56"/>
      <c r="AP141" s="56"/>
    </row>
    <row r="142" customFormat="false" ht="14.25" hidden="false" customHeight="true" outlineLevel="0" collapsed="false">
      <c r="A142" s="56"/>
      <c r="B142" s="77"/>
      <c r="C142" s="78"/>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56"/>
      <c r="AL142" s="56"/>
      <c r="AM142" s="56"/>
      <c r="AN142" s="56"/>
      <c r="AO142" s="56"/>
      <c r="AP142" s="56"/>
    </row>
    <row r="143" customFormat="false" ht="14.25" hidden="false" customHeight="true" outlineLevel="0" collapsed="false">
      <c r="A143" s="56"/>
      <c r="B143" s="77"/>
      <c r="C143" s="78"/>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c r="AK143" s="56"/>
      <c r="AL143" s="56"/>
      <c r="AM143" s="56"/>
      <c r="AN143" s="56"/>
      <c r="AO143" s="56"/>
      <c r="AP143" s="56"/>
    </row>
    <row r="144" customFormat="false" ht="14.25" hidden="false" customHeight="true" outlineLevel="0" collapsed="false">
      <c r="A144" s="56"/>
      <c r="B144" s="77"/>
      <c r="C144" s="78"/>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56"/>
      <c r="AL144" s="56"/>
      <c r="AM144" s="56"/>
      <c r="AN144" s="56"/>
      <c r="AO144" s="56"/>
      <c r="AP144" s="56"/>
    </row>
    <row r="145" customFormat="false" ht="14.25" hidden="false" customHeight="true" outlineLevel="0" collapsed="false">
      <c r="A145" s="56"/>
      <c r="B145" s="77"/>
      <c r="C145" s="78"/>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56"/>
      <c r="AL145" s="56"/>
      <c r="AM145" s="56"/>
      <c r="AN145" s="56"/>
      <c r="AO145" s="56"/>
      <c r="AP145" s="56"/>
    </row>
    <row r="146" customFormat="false" ht="14.25" hidden="false" customHeight="true" outlineLevel="0" collapsed="false">
      <c r="A146" s="56"/>
      <c r="B146" s="77"/>
      <c r="C146" s="78"/>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56"/>
      <c r="AL146" s="56"/>
      <c r="AM146" s="56"/>
      <c r="AN146" s="56"/>
      <c r="AO146" s="56"/>
      <c r="AP146" s="56"/>
    </row>
    <row r="147" customFormat="false" ht="14.25" hidden="false" customHeight="true" outlineLevel="0" collapsed="false">
      <c r="A147" s="56"/>
      <c r="B147" s="77"/>
      <c r="C147" s="78"/>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c r="AK147" s="56"/>
      <c r="AL147" s="56"/>
      <c r="AM147" s="56"/>
      <c r="AN147" s="56"/>
      <c r="AO147" s="56"/>
      <c r="AP147" s="56"/>
    </row>
    <row r="148" customFormat="false" ht="14.25" hidden="false" customHeight="true" outlineLevel="0" collapsed="false">
      <c r="A148" s="56"/>
      <c r="B148" s="77"/>
      <c r="C148" s="78"/>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56"/>
      <c r="AL148" s="56"/>
      <c r="AM148" s="56"/>
      <c r="AN148" s="56"/>
      <c r="AO148" s="56"/>
      <c r="AP148" s="56"/>
    </row>
    <row r="149" customFormat="false" ht="14.25" hidden="false" customHeight="true" outlineLevel="0" collapsed="false">
      <c r="A149" s="56"/>
      <c r="B149" s="77"/>
      <c r="C149" s="78"/>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56"/>
      <c r="AL149" s="56"/>
      <c r="AM149" s="56"/>
      <c r="AN149" s="56"/>
      <c r="AO149" s="56"/>
      <c r="AP149" s="56"/>
    </row>
    <row r="150" customFormat="false" ht="14.25" hidden="false" customHeight="true" outlineLevel="0" collapsed="false">
      <c r="A150" s="56"/>
      <c r="B150" s="77"/>
      <c r="C150" s="78"/>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c r="AK150" s="56"/>
      <c r="AL150" s="56"/>
      <c r="AM150" s="56"/>
      <c r="AN150" s="56"/>
      <c r="AO150" s="56"/>
      <c r="AP150" s="56"/>
    </row>
    <row r="151" customFormat="false" ht="14.25" hidden="false" customHeight="true" outlineLevel="0" collapsed="false">
      <c r="A151" s="56"/>
      <c r="B151" s="77"/>
      <c r="C151" s="78"/>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56"/>
      <c r="AL151" s="56"/>
      <c r="AM151" s="56"/>
      <c r="AN151" s="56"/>
      <c r="AO151" s="56"/>
      <c r="AP151" s="56"/>
    </row>
    <row r="152" customFormat="false" ht="14.25" hidden="false" customHeight="true" outlineLevel="0" collapsed="false">
      <c r="A152" s="56"/>
      <c r="B152" s="77"/>
      <c r="C152" s="78"/>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c r="AK152" s="56"/>
      <c r="AL152" s="56"/>
      <c r="AM152" s="56"/>
      <c r="AN152" s="56"/>
      <c r="AO152" s="56"/>
      <c r="AP152" s="56"/>
    </row>
    <row r="153" customFormat="false" ht="14.25" hidden="false" customHeight="true" outlineLevel="0" collapsed="false">
      <c r="A153" s="56"/>
      <c r="B153" s="77"/>
      <c r="C153" s="78"/>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56"/>
      <c r="AL153" s="56"/>
      <c r="AM153" s="56"/>
      <c r="AN153" s="56"/>
      <c r="AO153" s="56"/>
      <c r="AP153" s="56"/>
    </row>
    <row r="154" customFormat="false" ht="14.25" hidden="false" customHeight="true" outlineLevel="0" collapsed="false">
      <c r="A154" s="56"/>
      <c r="B154" s="77"/>
      <c r="C154" s="78"/>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c r="AI154" s="77"/>
      <c r="AJ154" s="77"/>
      <c r="AK154" s="56"/>
      <c r="AL154" s="56"/>
      <c r="AM154" s="56"/>
      <c r="AN154" s="56"/>
      <c r="AO154" s="56"/>
      <c r="AP154" s="56"/>
    </row>
    <row r="155" customFormat="false" ht="14.25" hidden="false" customHeight="true" outlineLevel="0" collapsed="false">
      <c r="A155" s="56"/>
      <c r="B155" s="77"/>
      <c r="C155" s="78"/>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c r="AI155" s="77"/>
      <c r="AJ155" s="77"/>
      <c r="AK155" s="56"/>
      <c r="AL155" s="56"/>
      <c r="AM155" s="56"/>
      <c r="AN155" s="56"/>
      <c r="AO155" s="56"/>
      <c r="AP155" s="56"/>
    </row>
    <row r="156" customFormat="false" ht="14.25" hidden="false" customHeight="true" outlineLevel="0" collapsed="false">
      <c r="A156" s="56"/>
      <c r="B156" s="77"/>
      <c r="C156" s="78"/>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56"/>
      <c r="AL156" s="56"/>
      <c r="AM156" s="56"/>
      <c r="AN156" s="56"/>
      <c r="AO156" s="56"/>
      <c r="AP156" s="56"/>
    </row>
    <row r="157" customFormat="false" ht="14.25" hidden="false" customHeight="true" outlineLevel="0" collapsed="false">
      <c r="A157" s="56"/>
      <c r="B157" s="77"/>
      <c r="C157" s="78"/>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56"/>
      <c r="AL157" s="56"/>
      <c r="AM157" s="56"/>
      <c r="AN157" s="56"/>
      <c r="AO157" s="56"/>
      <c r="AP157" s="56"/>
    </row>
    <row r="158" customFormat="false" ht="14.25" hidden="false" customHeight="true" outlineLevel="0" collapsed="false">
      <c r="A158" s="56"/>
      <c r="B158" s="77"/>
      <c r="C158" s="78"/>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56"/>
      <c r="AL158" s="56"/>
      <c r="AM158" s="56"/>
      <c r="AN158" s="56"/>
      <c r="AO158" s="56"/>
      <c r="AP158" s="56"/>
    </row>
    <row r="159" customFormat="false" ht="14.25" hidden="false" customHeight="true" outlineLevel="0" collapsed="false">
      <c r="A159" s="56"/>
      <c r="B159" s="77"/>
      <c r="C159" s="78"/>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56"/>
      <c r="AL159" s="56"/>
      <c r="AM159" s="56"/>
      <c r="AN159" s="56"/>
      <c r="AO159" s="56"/>
      <c r="AP159" s="56"/>
    </row>
    <row r="160" customFormat="false" ht="14.25" hidden="false" customHeight="true" outlineLevel="0" collapsed="false">
      <c r="A160" s="56"/>
      <c r="B160" s="77"/>
      <c r="C160" s="78"/>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77"/>
      <c r="AJ160" s="77"/>
      <c r="AK160" s="56"/>
      <c r="AL160" s="56"/>
      <c r="AM160" s="56"/>
      <c r="AN160" s="56"/>
      <c r="AO160" s="56"/>
      <c r="AP160" s="56"/>
    </row>
    <row r="161" customFormat="false" ht="14.25" hidden="false" customHeight="true" outlineLevel="0" collapsed="false">
      <c r="A161" s="56"/>
      <c r="B161" s="77"/>
      <c r="C161" s="78"/>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7"/>
      <c r="AF161" s="77"/>
      <c r="AG161" s="77"/>
      <c r="AH161" s="77"/>
      <c r="AI161" s="77"/>
      <c r="AJ161" s="77"/>
      <c r="AK161" s="56"/>
      <c r="AL161" s="56"/>
      <c r="AM161" s="56"/>
      <c r="AN161" s="56"/>
      <c r="AO161" s="56"/>
      <c r="AP161" s="56"/>
    </row>
    <row r="162" customFormat="false" ht="14.25" hidden="false" customHeight="true" outlineLevel="0" collapsed="false">
      <c r="A162" s="56"/>
      <c r="B162" s="77"/>
      <c r="C162" s="78"/>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77"/>
      <c r="AJ162" s="77"/>
      <c r="AK162" s="56"/>
      <c r="AL162" s="56"/>
      <c r="AM162" s="56"/>
      <c r="AN162" s="56"/>
      <c r="AO162" s="56"/>
      <c r="AP162" s="56"/>
    </row>
    <row r="163" customFormat="false" ht="14.25" hidden="false" customHeight="true" outlineLevel="0" collapsed="false">
      <c r="A163" s="56"/>
      <c r="B163" s="77"/>
      <c r="C163" s="78"/>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c r="AJ163" s="77"/>
      <c r="AK163" s="56"/>
      <c r="AL163" s="56"/>
      <c r="AM163" s="56"/>
      <c r="AN163" s="56"/>
      <c r="AO163" s="56"/>
      <c r="AP163" s="56"/>
    </row>
    <row r="164" customFormat="false" ht="14.25" hidden="false" customHeight="true" outlineLevel="0" collapsed="false">
      <c r="A164" s="56"/>
      <c r="B164" s="77"/>
      <c r="C164" s="78"/>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77"/>
      <c r="AJ164" s="77"/>
      <c r="AK164" s="56"/>
      <c r="AL164" s="56"/>
      <c r="AM164" s="56"/>
      <c r="AN164" s="56"/>
      <c r="AO164" s="56"/>
      <c r="AP164" s="56"/>
    </row>
    <row r="165" customFormat="false" ht="14.25" hidden="false" customHeight="true" outlineLevel="0" collapsed="false">
      <c r="A165" s="56"/>
      <c r="B165" s="77"/>
      <c r="C165" s="78"/>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77"/>
      <c r="AJ165" s="77"/>
      <c r="AK165" s="56"/>
      <c r="AL165" s="56"/>
      <c r="AM165" s="56"/>
      <c r="AN165" s="56"/>
      <c r="AO165" s="56"/>
      <c r="AP165" s="56"/>
    </row>
    <row r="166" customFormat="false" ht="14.25" hidden="false" customHeight="true" outlineLevel="0" collapsed="false">
      <c r="A166" s="56"/>
      <c r="B166" s="77"/>
      <c r="C166" s="78"/>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c r="AI166" s="77"/>
      <c r="AJ166" s="77"/>
      <c r="AK166" s="56"/>
      <c r="AL166" s="56"/>
      <c r="AM166" s="56"/>
      <c r="AN166" s="56"/>
      <c r="AO166" s="56"/>
      <c r="AP166" s="56"/>
    </row>
    <row r="167" customFormat="false" ht="14.25" hidden="false" customHeight="true" outlineLevel="0" collapsed="false">
      <c r="A167" s="56"/>
      <c r="B167" s="77"/>
      <c r="C167" s="78"/>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c r="AK167" s="56"/>
      <c r="AL167" s="56"/>
      <c r="AM167" s="56"/>
      <c r="AN167" s="56"/>
      <c r="AO167" s="56"/>
      <c r="AP167" s="56"/>
    </row>
    <row r="168" customFormat="false" ht="14.25" hidden="false" customHeight="true" outlineLevel="0" collapsed="false">
      <c r="A168" s="56"/>
      <c r="B168" s="77"/>
      <c r="C168" s="78"/>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56"/>
      <c r="AL168" s="56"/>
      <c r="AM168" s="56"/>
      <c r="AN168" s="56"/>
      <c r="AO168" s="56"/>
      <c r="AP168" s="56"/>
    </row>
    <row r="169" customFormat="false" ht="14.25" hidden="false" customHeight="true" outlineLevel="0" collapsed="false">
      <c r="A169" s="56"/>
      <c r="B169" s="77"/>
      <c r="C169" s="78"/>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56"/>
      <c r="AL169" s="56"/>
      <c r="AM169" s="56"/>
      <c r="AN169" s="56"/>
      <c r="AO169" s="56"/>
      <c r="AP169" s="56"/>
    </row>
    <row r="170" customFormat="false" ht="14.25" hidden="false" customHeight="true" outlineLevel="0" collapsed="false">
      <c r="A170" s="56"/>
      <c r="B170" s="77"/>
      <c r="C170" s="78"/>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56"/>
      <c r="AL170" s="56"/>
      <c r="AM170" s="56"/>
      <c r="AN170" s="56"/>
      <c r="AO170" s="56"/>
      <c r="AP170" s="56"/>
    </row>
    <row r="171" customFormat="false" ht="14.25" hidden="false" customHeight="true" outlineLevel="0" collapsed="false">
      <c r="A171" s="56"/>
      <c r="B171" s="77"/>
      <c r="C171" s="78"/>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c r="AK171" s="56"/>
      <c r="AL171" s="56"/>
      <c r="AM171" s="56"/>
      <c r="AN171" s="56"/>
      <c r="AO171" s="56"/>
      <c r="AP171" s="56"/>
    </row>
    <row r="172" customFormat="false" ht="14.25" hidden="false" customHeight="true" outlineLevel="0" collapsed="false">
      <c r="A172" s="56"/>
      <c r="B172" s="77"/>
      <c r="C172" s="78"/>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77"/>
      <c r="AJ172" s="77"/>
      <c r="AK172" s="56"/>
      <c r="AL172" s="56"/>
      <c r="AM172" s="56"/>
      <c r="AN172" s="56"/>
      <c r="AO172" s="56"/>
      <c r="AP172" s="56"/>
    </row>
    <row r="173" customFormat="false" ht="14.25" hidden="false" customHeight="true" outlineLevel="0" collapsed="false">
      <c r="A173" s="56"/>
      <c r="B173" s="77"/>
      <c r="C173" s="78"/>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77"/>
      <c r="AJ173" s="77"/>
      <c r="AK173" s="56"/>
      <c r="AL173" s="56"/>
      <c r="AM173" s="56"/>
      <c r="AN173" s="56"/>
      <c r="AO173" s="56"/>
      <c r="AP173" s="56"/>
    </row>
    <row r="174" customFormat="false" ht="14.25" hidden="false" customHeight="true" outlineLevel="0" collapsed="false">
      <c r="A174" s="56"/>
      <c r="B174" s="77"/>
      <c r="C174" s="78"/>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77"/>
      <c r="AJ174" s="77"/>
      <c r="AK174" s="56"/>
      <c r="AL174" s="56"/>
      <c r="AM174" s="56"/>
      <c r="AN174" s="56"/>
      <c r="AO174" s="56"/>
      <c r="AP174" s="56"/>
    </row>
    <row r="175" customFormat="false" ht="14.25" hidden="false" customHeight="true" outlineLevel="0" collapsed="false">
      <c r="A175" s="56"/>
      <c r="B175" s="77"/>
      <c r="C175" s="78"/>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77"/>
      <c r="AG175" s="77"/>
      <c r="AH175" s="77"/>
      <c r="AI175" s="77"/>
      <c r="AJ175" s="77"/>
      <c r="AK175" s="56"/>
      <c r="AL175" s="56"/>
      <c r="AM175" s="56"/>
      <c r="AN175" s="56"/>
      <c r="AO175" s="56"/>
      <c r="AP175" s="56"/>
    </row>
    <row r="176" customFormat="false" ht="14.25" hidden="false" customHeight="true" outlineLevel="0" collapsed="false">
      <c r="A176" s="56"/>
      <c r="B176" s="77"/>
      <c r="C176" s="78"/>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56"/>
      <c r="AL176" s="56"/>
      <c r="AM176" s="56"/>
      <c r="AN176" s="56"/>
      <c r="AO176" s="56"/>
      <c r="AP176" s="56"/>
    </row>
    <row r="177" customFormat="false" ht="14.25" hidden="false" customHeight="true" outlineLevel="0" collapsed="false">
      <c r="A177" s="56"/>
      <c r="B177" s="77"/>
      <c r="C177" s="78"/>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77"/>
      <c r="AJ177" s="77"/>
      <c r="AK177" s="56"/>
      <c r="AL177" s="56"/>
      <c r="AM177" s="56"/>
      <c r="AN177" s="56"/>
      <c r="AO177" s="56"/>
      <c r="AP177" s="56"/>
    </row>
    <row r="178" customFormat="false" ht="14.25" hidden="false" customHeight="true" outlineLevel="0" collapsed="false">
      <c r="A178" s="56"/>
      <c r="B178" s="77"/>
      <c r="C178" s="78"/>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56"/>
      <c r="AL178" s="56"/>
      <c r="AM178" s="56"/>
      <c r="AN178" s="56"/>
      <c r="AO178" s="56"/>
      <c r="AP178" s="56"/>
    </row>
    <row r="179" customFormat="false" ht="14.25" hidden="false" customHeight="true" outlineLevel="0" collapsed="false">
      <c r="A179" s="56"/>
      <c r="B179" s="77"/>
      <c r="C179" s="78"/>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56"/>
      <c r="AL179" s="56"/>
      <c r="AM179" s="56"/>
      <c r="AN179" s="56"/>
      <c r="AO179" s="56"/>
      <c r="AP179" s="56"/>
    </row>
    <row r="180" customFormat="false" ht="14.25" hidden="false" customHeight="true" outlineLevel="0" collapsed="false">
      <c r="A180" s="56"/>
      <c r="B180" s="77"/>
      <c r="C180" s="78"/>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56"/>
      <c r="AL180" s="56"/>
      <c r="AM180" s="56"/>
      <c r="AN180" s="56"/>
      <c r="AO180" s="56"/>
      <c r="AP180" s="56"/>
    </row>
    <row r="181" customFormat="false" ht="14.25" hidden="false" customHeight="true" outlineLevel="0" collapsed="false">
      <c r="A181" s="56"/>
      <c r="B181" s="77"/>
      <c r="C181" s="78"/>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56"/>
      <c r="AL181" s="56"/>
      <c r="AM181" s="56"/>
      <c r="AN181" s="56"/>
      <c r="AO181" s="56"/>
      <c r="AP181" s="56"/>
    </row>
    <row r="182" customFormat="false" ht="14.25" hidden="false" customHeight="true" outlineLevel="0" collapsed="false">
      <c r="A182" s="56"/>
      <c r="B182" s="77"/>
      <c r="C182" s="78"/>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56"/>
      <c r="AL182" s="56"/>
      <c r="AM182" s="56"/>
      <c r="AN182" s="56"/>
      <c r="AO182" s="56"/>
      <c r="AP182" s="56"/>
    </row>
    <row r="183" customFormat="false" ht="14.25" hidden="false" customHeight="true" outlineLevel="0" collapsed="false">
      <c r="A183" s="56"/>
      <c r="B183" s="77"/>
      <c r="C183" s="78"/>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56"/>
      <c r="AL183" s="56"/>
      <c r="AM183" s="56"/>
      <c r="AN183" s="56"/>
      <c r="AO183" s="56"/>
      <c r="AP183" s="56"/>
    </row>
    <row r="184" customFormat="false" ht="14.25" hidden="false" customHeight="true" outlineLevel="0" collapsed="false">
      <c r="A184" s="56"/>
      <c r="B184" s="77"/>
      <c r="C184" s="78"/>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56"/>
      <c r="AL184" s="56"/>
      <c r="AM184" s="56"/>
      <c r="AN184" s="56"/>
      <c r="AO184" s="56"/>
      <c r="AP184" s="56"/>
    </row>
    <row r="185" customFormat="false" ht="14.25" hidden="false" customHeight="true" outlineLevel="0" collapsed="false">
      <c r="A185" s="56"/>
      <c r="B185" s="77"/>
      <c r="C185" s="78"/>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56"/>
      <c r="AL185" s="56"/>
      <c r="AM185" s="56"/>
      <c r="AN185" s="56"/>
      <c r="AO185" s="56"/>
      <c r="AP185" s="56"/>
    </row>
    <row r="186" customFormat="false" ht="14.25" hidden="false" customHeight="true" outlineLevel="0" collapsed="false">
      <c r="A186" s="56"/>
      <c r="B186" s="77"/>
      <c r="C186" s="78"/>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56"/>
      <c r="AL186" s="56"/>
      <c r="AM186" s="56"/>
      <c r="AN186" s="56"/>
      <c r="AO186" s="56"/>
      <c r="AP186" s="56"/>
    </row>
    <row r="187" customFormat="false" ht="14.25" hidden="false" customHeight="true" outlineLevel="0" collapsed="false">
      <c r="A187" s="56"/>
      <c r="B187" s="77"/>
      <c r="C187" s="78"/>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56"/>
      <c r="AL187" s="56"/>
      <c r="AM187" s="56"/>
      <c r="AN187" s="56"/>
      <c r="AO187" s="56"/>
      <c r="AP187" s="56"/>
    </row>
    <row r="188" customFormat="false" ht="14.25" hidden="false" customHeight="true" outlineLevel="0" collapsed="false">
      <c r="A188" s="56"/>
      <c r="B188" s="77"/>
      <c r="C188" s="78"/>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56"/>
      <c r="AL188" s="56"/>
      <c r="AM188" s="56"/>
      <c r="AN188" s="56"/>
      <c r="AO188" s="56"/>
      <c r="AP188" s="56"/>
    </row>
    <row r="189" customFormat="false" ht="14.25" hidden="false" customHeight="true" outlineLevel="0" collapsed="false">
      <c r="A189" s="56"/>
      <c r="B189" s="77"/>
      <c r="C189" s="78"/>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7"/>
      <c r="AF189" s="77"/>
      <c r="AG189" s="77"/>
      <c r="AH189" s="77"/>
      <c r="AI189" s="77"/>
      <c r="AJ189" s="77"/>
      <c r="AK189" s="56"/>
      <c r="AL189" s="56"/>
      <c r="AM189" s="56"/>
      <c r="AN189" s="56"/>
      <c r="AO189" s="56"/>
      <c r="AP189" s="56"/>
    </row>
    <row r="190" customFormat="false" ht="14.25" hidden="false" customHeight="true" outlineLevel="0" collapsed="false">
      <c r="A190" s="56"/>
      <c r="B190" s="77"/>
      <c r="C190" s="78"/>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c r="AI190" s="77"/>
      <c r="AJ190" s="77"/>
      <c r="AK190" s="56"/>
      <c r="AL190" s="56"/>
      <c r="AM190" s="56"/>
      <c r="AN190" s="56"/>
      <c r="AO190" s="56"/>
      <c r="AP190" s="56"/>
    </row>
    <row r="191" customFormat="false" ht="14.25" hidden="false" customHeight="true" outlineLevel="0" collapsed="false">
      <c r="A191" s="56"/>
      <c r="B191" s="77"/>
      <c r="C191" s="78"/>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7"/>
      <c r="AF191" s="77"/>
      <c r="AG191" s="77"/>
      <c r="AH191" s="77"/>
      <c r="AI191" s="77"/>
      <c r="AJ191" s="77"/>
      <c r="AK191" s="56"/>
      <c r="AL191" s="56"/>
      <c r="AM191" s="56"/>
      <c r="AN191" s="56"/>
      <c r="AO191" s="56"/>
      <c r="AP191" s="56"/>
    </row>
    <row r="192" customFormat="false" ht="14.25" hidden="false" customHeight="true" outlineLevel="0" collapsed="false">
      <c r="A192" s="56"/>
      <c r="B192" s="77"/>
      <c r="C192" s="78"/>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56"/>
      <c r="AL192" s="56"/>
      <c r="AM192" s="56"/>
      <c r="AN192" s="56"/>
      <c r="AO192" s="56"/>
      <c r="AP192" s="56"/>
    </row>
    <row r="193" customFormat="false" ht="14.25" hidden="false" customHeight="true" outlineLevel="0" collapsed="false">
      <c r="A193" s="56"/>
      <c r="B193" s="77"/>
      <c r="C193" s="78"/>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56"/>
      <c r="AL193" s="56"/>
      <c r="AM193" s="56"/>
      <c r="AN193" s="56"/>
      <c r="AO193" s="56"/>
      <c r="AP193" s="56"/>
    </row>
    <row r="194" customFormat="false" ht="14.25" hidden="false" customHeight="true" outlineLevel="0" collapsed="false">
      <c r="A194" s="56"/>
      <c r="B194" s="77"/>
      <c r="C194" s="78"/>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56"/>
      <c r="AL194" s="56"/>
      <c r="AM194" s="56"/>
      <c r="AN194" s="56"/>
      <c r="AO194" s="56"/>
      <c r="AP194" s="56"/>
    </row>
    <row r="195" customFormat="false" ht="14.25" hidden="false" customHeight="true" outlineLevel="0" collapsed="false">
      <c r="A195" s="56"/>
      <c r="B195" s="77"/>
      <c r="C195" s="78"/>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56"/>
      <c r="AL195" s="56"/>
      <c r="AM195" s="56"/>
      <c r="AN195" s="56"/>
      <c r="AO195" s="56"/>
      <c r="AP195" s="56"/>
    </row>
    <row r="196" customFormat="false" ht="14.25" hidden="false" customHeight="true" outlineLevel="0" collapsed="false">
      <c r="A196" s="56"/>
      <c r="B196" s="77"/>
      <c r="C196" s="78"/>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56"/>
      <c r="AL196" s="56"/>
      <c r="AM196" s="56"/>
      <c r="AN196" s="56"/>
      <c r="AO196" s="56"/>
      <c r="AP196" s="56"/>
    </row>
    <row r="197" customFormat="false" ht="14.25" hidden="false" customHeight="true" outlineLevel="0" collapsed="false">
      <c r="A197" s="56"/>
      <c r="B197" s="77"/>
      <c r="C197" s="78"/>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56"/>
      <c r="AL197" s="56"/>
      <c r="AM197" s="56"/>
      <c r="AN197" s="56"/>
      <c r="AO197" s="56"/>
      <c r="AP197" s="56"/>
    </row>
    <row r="198" customFormat="false" ht="14.25" hidden="false" customHeight="true" outlineLevel="0" collapsed="false">
      <c r="A198" s="56"/>
      <c r="B198" s="77"/>
      <c r="C198" s="78"/>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56"/>
      <c r="AL198" s="56"/>
      <c r="AM198" s="56"/>
      <c r="AN198" s="56"/>
      <c r="AO198" s="56"/>
      <c r="AP198" s="56"/>
    </row>
    <row r="199" customFormat="false" ht="14.25" hidden="false" customHeight="true" outlineLevel="0" collapsed="false">
      <c r="A199" s="56"/>
      <c r="B199" s="77"/>
      <c r="C199" s="78"/>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56"/>
      <c r="AL199" s="56"/>
      <c r="AM199" s="56"/>
      <c r="AN199" s="56"/>
      <c r="AO199" s="56"/>
      <c r="AP199" s="56"/>
    </row>
    <row r="200" customFormat="false" ht="14.25" hidden="false" customHeight="true" outlineLevel="0" collapsed="false">
      <c r="A200" s="56"/>
      <c r="B200" s="77"/>
      <c r="C200" s="78"/>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56"/>
      <c r="AL200" s="56"/>
      <c r="AM200" s="56"/>
      <c r="AN200" s="56"/>
      <c r="AO200" s="56"/>
      <c r="AP200" s="56"/>
    </row>
    <row r="201" customFormat="false" ht="14.25" hidden="false" customHeight="true" outlineLevel="0" collapsed="false">
      <c r="A201" s="56"/>
      <c r="B201" s="77"/>
      <c r="C201" s="78"/>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56"/>
      <c r="AL201" s="56"/>
      <c r="AM201" s="56"/>
      <c r="AN201" s="56"/>
      <c r="AO201" s="56"/>
      <c r="AP201" s="56"/>
    </row>
    <row r="202" customFormat="false" ht="14.25" hidden="false" customHeight="true" outlineLevel="0" collapsed="false">
      <c r="A202" s="56"/>
      <c r="B202" s="77"/>
      <c r="C202" s="78"/>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56"/>
      <c r="AL202" s="56"/>
      <c r="AM202" s="56"/>
      <c r="AN202" s="56"/>
      <c r="AO202" s="56"/>
      <c r="AP202" s="56"/>
    </row>
    <row r="203" customFormat="false" ht="14.25" hidden="false" customHeight="true" outlineLevel="0" collapsed="false">
      <c r="A203" s="56"/>
      <c r="B203" s="77"/>
      <c r="C203" s="78"/>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56"/>
      <c r="AL203" s="56"/>
      <c r="AM203" s="56"/>
      <c r="AN203" s="56"/>
      <c r="AO203" s="56"/>
      <c r="AP203" s="56"/>
    </row>
    <row r="204" customFormat="false" ht="14.25" hidden="false" customHeight="true" outlineLevel="0" collapsed="false">
      <c r="A204" s="56"/>
      <c r="B204" s="77"/>
      <c r="C204" s="78"/>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c r="AK204" s="56"/>
      <c r="AL204" s="56"/>
      <c r="AM204" s="56"/>
      <c r="AN204" s="56"/>
      <c r="AO204" s="56"/>
      <c r="AP204" s="56"/>
    </row>
    <row r="205" customFormat="false" ht="14.25" hidden="false" customHeight="true" outlineLevel="0" collapsed="false">
      <c r="A205" s="56"/>
      <c r="B205" s="77"/>
      <c r="C205" s="78"/>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56"/>
      <c r="AL205" s="56"/>
      <c r="AM205" s="56"/>
      <c r="AN205" s="56"/>
      <c r="AO205" s="56"/>
      <c r="AP205" s="56"/>
    </row>
    <row r="206" customFormat="false" ht="14.25" hidden="false" customHeight="true" outlineLevel="0" collapsed="false">
      <c r="A206" s="56"/>
      <c r="B206" s="77"/>
      <c r="C206" s="78"/>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56"/>
      <c r="AL206" s="56"/>
      <c r="AM206" s="56"/>
      <c r="AN206" s="56"/>
      <c r="AO206" s="56"/>
      <c r="AP206" s="56"/>
    </row>
    <row r="207" customFormat="false" ht="14.25" hidden="false" customHeight="true" outlineLevel="0" collapsed="false">
      <c r="A207" s="56"/>
      <c r="B207" s="77"/>
      <c r="C207" s="78"/>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56"/>
      <c r="AL207" s="56"/>
      <c r="AM207" s="56"/>
      <c r="AN207" s="56"/>
      <c r="AO207" s="56"/>
      <c r="AP207" s="56"/>
    </row>
    <row r="208" customFormat="false" ht="14.25" hidden="false" customHeight="true" outlineLevel="0" collapsed="false">
      <c r="A208" s="56"/>
      <c r="B208" s="77"/>
      <c r="C208" s="78"/>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56"/>
      <c r="AL208" s="56"/>
      <c r="AM208" s="56"/>
      <c r="AN208" s="56"/>
      <c r="AO208" s="56"/>
      <c r="AP208" s="56"/>
    </row>
    <row r="209" customFormat="false" ht="14.25" hidden="false" customHeight="true" outlineLevel="0" collapsed="false">
      <c r="A209" s="56"/>
      <c r="B209" s="77"/>
      <c r="C209" s="78"/>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56"/>
      <c r="AL209" s="56"/>
      <c r="AM209" s="56"/>
      <c r="AN209" s="56"/>
      <c r="AO209" s="56"/>
      <c r="AP209" s="56"/>
    </row>
    <row r="210" customFormat="false" ht="14.25" hidden="false" customHeight="true" outlineLevel="0" collapsed="false">
      <c r="A210" s="56"/>
      <c r="B210" s="77"/>
      <c r="C210" s="78"/>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56"/>
      <c r="AL210" s="56"/>
      <c r="AM210" s="56"/>
      <c r="AN210" s="56"/>
      <c r="AO210" s="56"/>
      <c r="AP210" s="56"/>
    </row>
    <row r="211" customFormat="false" ht="14.25" hidden="false" customHeight="true" outlineLevel="0" collapsed="false">
      <c r="A211" s="56"/>
      <c r="B211" s="77"/>
      <c r="C211" s="78"/>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56"/>
      <c r="AL211" s="56"/>
      <c r="AM211" s="56"/>
      <c r="AN211" s="56"/>
      <c r="AO211" s="56"/>
      <c r="AP211" s="56"/>
    </row>
    <row r="212" customFormat="false" ht="14.25" hidden="false" customHeight="true" outlineLevel="0" collapsed="false">
      <c r="A212" s="56"/>
      <c r="B212" s="77"/>
      <c r="C212" s="78"/>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56"/>
      <c r="AL212" s="56"/>
      <c r="AM212" s="56"/>
      <c r="AN212" s="56"/>
      <c r="AO212" s="56"/>
      <c r="AP212" s="56"/>
    </row>
    <row r="213" customFormat="false" ht="14.25" hidden="false" customHeight="true" outlineLevel="0" collapsed="false">
      <c r="A213" s="56"/>
      <c r="B213" s="77"/>
      <c r="C213" s="78"/>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c r="AK213" s="56"/>
      <c r="AL213" s="56"/>
      <c r="AM213" s="56"/>
      <c r="AN213" s="56"/>
      <c r="AO213" s="56"/>
      <c r="AP213" s="56"/>
    </row>
    <row r="214" customFormat="false" ht="14.25" hidden="false" customHeight="true" outlineLevel="0" collapsed="false">
      <c r="A214" s="56"/>
      <c r="B214" s="77"/>
      <c r="C214" s="78"/>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c r="AK214" s="56"/>
      <c r="AL214" s="56"/>
      <c r="AM214" s="56"/>
      <c r="AN214" s="56"/>
      <c r="AO214" s="56"/>
      <c r="AP214" s="56"/>
    </row>
    <row r="215" customFormat="false" ht="14.25" hidden="false" customHeight="true" outlineLevel="0" collapsed="false">
      <c r="A215" s="56"/>
      <c r="B215" s="77"/>
      <c r="C215" s="78"/>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56"/>
      <c r="AL215" s="56"/>
      <c r="AM215" s="56"/>
      <c r="AN215" s="56"/>
      <c r="AO215" s="56"/>
      <c r="AP215" s="56"/>
    </row>
    <row r="216" customFormat="false" ht="14.25" hidden="false" customHeight="true" outlineLevel="0" collapsed="false">
      <c r="A216" s="56"/>
      <c r="B216" s="77"/>
      <c r="C216" s="78"/>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c r="AK216" s="56"/>
      <c r="AL216" s="56"/>
      <c r="AM216" s="56"/>
      <c r="AN216" s="56"/>
      <c r="AO216" s="56"/>
      <c r="AP216" s="56"/>
    </row>
    <row r="217" customFormat="false" ht="14.25" hidden="false" customHeight="true" outlineLevel="0" collapsed="false">
      <c r="A217" s="56"/>
      <c r="B217" s="77"/>
      <c r="C217" s="78"/>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c r="AK217" s="56"/>
      <c r="AL217" s="56"/>
      <c r="AM217" s="56"/>
      <c r="AN217" s="56"/>
      <c r="AO217" s="56"/>
      <c r="AP217" s="56"/>
    </row>
    <row r="218" customFormat="false" ht="14.25" hidden="false" customHeight="true" outlineLevel="0" collapsed="false">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row>
    <row r="219" customFormat="false" ht="14.25" hidden="false" customHeight="true" outlineLevel="0" collapsed="false">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row>
    <row r="220" customFormat="false" ht="14.25" hidden="false" customHeight="true" outlineLevel="0" collapsed="false">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row>
    <row r="221" customFormat="false" ht="14.25" hidden="false" customHeight="true" outlineLevel="0" collapsed="false">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row>
    <row r="222" customFormat="false" ht="14.25" hidden="false" customHeight="true" outlineLevel="0" collapsed="false">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row>
    <row r="223" customFormat="false" ht="14.25" hidden="false" customHeight="true" outlineLevel="0" collapsed="false">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row>
    <row r="224" customFormat="false" ht="14.25" hidden="false" customHeight="true" outlineLevel="0" collapsed="false">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row>
    <row r="225" customFormat="false" ht="14.25" hidden="false" customHeight="true" outlineLevel="0" collapsed="false">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row>
    <row r="226" customFormat="false" ht="14.25" hidden="false" customHeight="true" outlineLevel="0" collapsed="false">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row>
    <row r="227" customFormat="false" ht="14.25" hidden="false" customHeight="true" outlineLevel="0" collapsed="false">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row>
    <row r="228" customFormat="false" ht="14.25" hidden="false" customHeight="true" outlineLevel="0" collapsed="false">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row>
    <row r="229" customFormat="false" ht="14.25" hidden="false" customHeight="true" outlineLevel="0" collapsed="false">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row>
    <row r="230" customFormat="false" ht="14.25" hidden="false" customHeight="true" outlineLevel="0" collapsed="false">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row>
    <row r="231" customFormat="false" ht="14.25" hidden="false" customHeight="true" outlineLevel="0" collapsed="false">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row>
    <row r="232" customFormat="false" ht="14.25" hidden="false" customHeight="true" outlineLevel="0" collapsed="false">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row>
    <row r="233" customFormat="false" ht="14.25" hidden="false" customHeight="true" outlineLevel="0" collapsed="false">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row>
    <row r="234" customFormat="false" ht="14.25" hidden="false" customHeight="true" outlineLevel="0" collapsed="false">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row>
    <row r="235" customFormat="false" ht="14.25" hidden="false" customHeight="true" outlineLevel="0" collapsed="false">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row>
    <row r="236" customFormat="false" ht="14.25" hidden="false" customHeight="true" outlineLevel="0" collapsed="false">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row>
    <row r="237" customFormat="false" ht="14.25" hidden="false" customHeight="true" outlineLevel="0" collapsed="false">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row>
    <row r="238" customFormat="false" ht="14.25" hidden="false" customHeight="true" outlineLevel="0" collapsed="false">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row>
    <row r="239" customFormat="false" ht="14.25" hidden="false" customHeight="true" outlineLevel="0" collapsed="false">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row>
    <row r="240" customFormat="false" ht="14.25" hidden="false" customHeight="true" outlineLevel="0" collapsed="false">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row>
    <row r="241" customFormat="false" ht="14.25" hidden="false" customHeight="true" outlineLevel="0" collapsed="false">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row>
    <row r="242" customFormat="false" ht="14.25" hidden="false" customHeight="true" outlineLevel="0" collapsed="false">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row>
    <row r="243" customFormat="false" ht="14.25" hidden="false" customHeight="true" outlineLevel="0" collapsed="false">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row>
    <row r="244" customFormat="false" ht="14.25" hidden="false" customHeight="true" outlineLevel="0" collapsed="false">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row>
    <row r="245" customFormat="false" ht="14.25" hidden="false" customHeight="true" outlineLevel="0" collapsed="false">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row>
    <row r="246" customFormat="false" ht="14.25" hidden="false" customHeight="true" outlineLevel="0" collapsed="false">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row>
    <row r="247" customFormat="false" ht="14.25" hidden="false" customHeight="true" outlineLevel="0" collapsed="false">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row>
    <row r="248" customFormat="false" ht="14.25" hidden="false" customHeight="true" outlineLevel="0" collapsed="false">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row>
    <row r="249" customFormat="false" ht="14.25" hidden="false" customHeight="true" outlineLevel="0" collapsed="false">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row>
    <row r="250" customFormat="false" ht="14.25" hidden="false" customHeight="true" outlineLevel="0" collapsed="false">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row>
    <row r="251" customFormat="false" ht="14.25" hidden="false" customHeight="true" outlineLevel="0" collapsed="false">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row>
    <row r="252" customFormat="false" ht="14.25" hidden="false" customHeight="true" outlineLevel="0" collapsed="false">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row>
    <row r="253" customFormat="false" ht="14.25" hidden="false" customHeight="true" outlineLevel="0" collapsed="false">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row>
    <row r="254" customFormat="false" ht="14.25" hidden="false" customHeight="true" outlineLevel="0" collapsed="false">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row>
    <row r="255" customFormat="false" ht="14.25" hidden="false" customHeight="true" outlineLevel="0" collapsed="false">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row>
    <row r="256" customFormat="false" ht="14.25" hidden="false" customHeight="true" outlineLevel="0" collapsed="false">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row>
    <row r="257" customFormat="false" ht="14.25" hidden="false" customHeight="true" outlineLevel="0" collapsed="false">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row>
    <row r="258" customFormat="false" ht="14.25" hidden="false" customHeight="true" outlineLevel="0" collapsed="false">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row>
    <row r="259" customFormat="false" ht="14.25" hidden="false" customHeight="true" outlineLevel="0" collapsed="false">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row>
    <row r="260" customFormat="false" ht="14.25" hidden="false" customHeight="true" outlineLevel="0" collapsed="false">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row>
    <row r="261" customFormat="false" ht="14.25" hidden="false" customHeight="true" outlineLevel="0" collapsed="false">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row>
    <row r="262" customFormat="false" ht="14.25" hidden="false" customHeight="true" outlineLevel="0" collapsed="false">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row>
    <row r="263" customFormat="false" ht="14.25" hidden="false" customHeight="true" outlineLevel="0" collapsed="false">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row>
    <row r="264" customFormat="false" ht="14.25" hidden="false" customHeight="true" outlineLevel="0" collapsed="false">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row>
    <row r="265" customFormat="false" ht="14.25" hidden="false" customHeight="true" outlineLevel="0" collapsed="false">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row>
    <row r="266" customFormat="false" ht="14.25" hidden="false" customHeight="true" outlineLevel="0" collapsed="false">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row>
    <row r="267" customFormat="false" ht="14.25" hidden="false" customHeight="true" outlineLevel="0" collapsed="false">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row>
    <row r="268" customFormat="false" ht="14.25" hidden="false" customHeight="true" outlineLevel="0" collapsed="false">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row>
    <row r="269" customFormat="false" ht="14.25" hidden="false" customHeight="true" outlineLevel="0" collapsed="false">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row>
    <row r="270" customFormat="false" ht="14.25" hidden="false" customHeight="true" outlineLevel="0" collapsed="false">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row>
    <row r="271" customFormat="false" ht="14.25" hidden="false" customHeight="true" outlineLevel="0" collapsed="false">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row>
    <row r="272" customFormat="false" ht="14.25" hidden="false" customHeight="true" outlineLevel="0" collapsed="false">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row>
    <row r="273" customFormat="false" ht="14.25" hidden="false" customHeight="true" outlineLevel="0" collapsed="false">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row>
    <row r="274" customFormat="false" ht="14.25" hidden="false" customHeight="true" outlineLevel="0" collapsed="false">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row>
    <row r="275" customFormat="false" ht="14.25" hidden="false" customHeight="true" outlineLevel="0" collapsed="false">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row>
    <row r="276" customFormat="false" ht="14.25" hidden="false" customHeight="true" outlineLevel="0" collapsed="false">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row>
    <row r="277" customFormat="false" ht="14.25" hidden="false" customHeight="true" outlineLevel="0" collapsed="false">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row>
    <row r="278" customFormat="false" ht="14.25" hidden="false" customHeight="true" outlineLevel="0" collapsed="false">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row>
    <row r="279" customFormat="false" ht="14.25" hidden="false" customHeight="true" outlineLevel="0" collapsed="false">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row>
    <row r="280" customFormat="false" ht="14.25" hidden="false" customHeight="true" outlineLevel="0" collapsed="false">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row>
    <row r="281" customFormat="false" ht="14.25" hidden="false" customHeight="true" outlineLevel="0" collapsed="false">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row>
    <row r="282" customFormat="false" ht="14.25" hidden="false" customHeight="true" outlineLevel="0" collapsed="false">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row>
    <row r="283" customFormat="false" ht="14.25" hidden="false" customHeight="true" outlineLevel="0" collapsed="false">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row>
    <row r="284" customFormat="false" ht="14.25" hidden="false" customHeight="true" outlineLevel="0" collapsed="false">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row>
    <row r="285" customFormat="false" ht="14.25" hidden="false" customHeight="true" outlineLevel="0" collapsed="false">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row>
    <row r="286" customFormat="false" ht="14.25" hidden="false" customHeight="true" outlineLevel="0" collapsed="false">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row>
    <row r="287" customFormat="false" ht="14.25" hidden="false" customHeight="true" outlineLevel="0" collapsed="false">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row>
    <row r="288" customFormat="false" ht="14.25" hidden="false" customHeight="true" outlineLevel="0" collapsed="false">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row>
    <row r="289" customFormat="false" ht="14.25" hidden="false" customHeight="true" outlineLevel="0" collapsed="false">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row>
    <row r="290" customFormat="false" ht="14.25" hidden="false" customHeight="true" outlineLevel="0" collapsed="false">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row>
    <row r="291" customFormat="false" ht="14.25" hidden="false" customHeight="true" outlineLevel="0" collapsed="false">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row>
    <row r="292" customFormat="false" ht="14.25" hidden="false" customHeight="true" outlineLevel="0" collapsed="false">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row>
    <row r="293" customFormat="false" ht="14.25" hidden="false" customHeight="true" outlineLevel="0" collapsed="false">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row>
    <row r="294" customFormat="false" ht="14.25" hidden="false" customHeight="true" outlineLevel="0" collapsed="false">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row>
    <row r="295" customFormat="false" ht="14.25" hidden="false" customHeight="true" outlineLevel="0" collapsed="false">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row>
    <row r="296" customFormat="false" ht="14.25" hidden="false" customHeight="true" outlineLevel="0" collapsed="false">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row>
    <row r="297" customFormat="false" ht="14.25" hidden="false" customHeight="true" outlineLevel="0" collapsed="false">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row>
    <row r="298" customFormat="false" ht="14.25" hidden="false" customHeight="true" outlineLevel="0" collapsed="false">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row>
    <row r="299" customFormat="false" ht="14.25" hidden="false" customHeight="true" outlineLevel="0" collapsed="false">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row>
    <row r="300" customFormat="false" ht="14.25" hidden="false" customHeight="true" outlineLevel="0" collapsed="false">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row>
    <row r="301" customFormat="false" ht="14.25" hidden="false" customHeight="true" outlineLevel="0" collapsed="false">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row>
    <row r="302" customFormat="false" ht="14.25" hidden="false" customHeight="true" outlineLevel="0" collapsed="false">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row>
    <row r="303" customFormat="false" ht="14.25" hidden="false" customHeight="true" outlineLevel="0" collapsed="false">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row>
    <row r="304" customFormat="false" ht="14.25" hidden="false" customHeight="true" outlineLevel="0" collapsed="false">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row>
    <row r="305" customFormat="false" ht="14.25" hidden="false" customHeight="true" outlineLevel="0" collapsed="false">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row>
    <row r="306" customFormat="false" ht="14.25" hidden="false" customHeight="true" outlineLevel="0" collapsed="false">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row>
    <row r="307" customFormat="false" ht="14.25" hidden="false" customHeight="true" outlineLevel="0" collapsed="false">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row>
    <row r="308" customFormat="false" ht="14.25" hidden="false" customHeight="true" outlineLevel="0" collapsed="false">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row>
    <row r="309" customFormat="false" ht="14.25" hidden="false" customHeight="true" outlineLevel="0" collapsed="false">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row>
    <row r="310" customFormat="false" ht="14.25" hidden="false" customHeight="true" outlineLevel="0" collapsed="false">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row>
    <row r="311" customFormat="false" ht="14.25" hidden="false" customHeight="true" outlineLevel="0" collapsed="false">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row>
    <row r="312" customFormat="false" ht="14.25" hidden="false" customHeight="true" outlineLevel="0" collapsed="false">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row>
    <row r="313" customFormat="false" ht="14.25" hidden="false" customHeight="true" outlineLevel="0" collapsed="false">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row>
    <row r="314" customFormat="false" ht="14.25" hidden="false" customHeight="true" outlineLevel="0" collapsed="false">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row>
    <row r="315" customFormat="false" ht="14.25" hidden="false" customHeight="true" outlineLevel="0" collapsed="false">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row>
    <row r="316" customFormat="false" ht="14.25" hidden="false" customHeight="true" outlineLevel="0" collapsed="false">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row>
    <row r="317" customFormat="false" ht="14.25" hidden="false" customHeight="true" outlineLevel="0" collapsed="false">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row>
    <row r="318" customFormat="false" ht="14.25" hidden="false" customHeight="true" outlineLevel="0" collapsed="false">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row>
    <row r="319" customFormat="false" ht="14.25" hidden="false" customHeight="true" outlineLevel="0" collapsed="false">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row>
    <row r="320" customFormat="false" ht="14.25" hidden="false" customHeight="true" outlineLevel="0" collapsed="false">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row>
    <row r="321" customFormat="false" ht="14.25" hidden="false" customHeight="true" outlineLevel="0" collapsed="false">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row>
    <row r="322" customFormat="false" ht="14.25" hidden="false" customHeight="true" outlineLevel="0" collapsed="false">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row>
    <row r="323" customFormat="false" ht="14.25" hidden="false" customHeight="true" outlineLevel="0" collapsed="false">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row>
    <row r="324" customFormat="false" ht="14.25" hidden="false" customHeight="true" outlineLevel="0" collapsed="false">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row>
    <row r="325" customFormat="false" ht="14.25" hidden="false" customHeight="true" outlineLevel="0" collapsed="false">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row>
    <row r="326" customFormat="false" ht="14.25" hidden="false" customHeight="true" outlineLevel="0" collapsed="false">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row>
    <row r="327" customFormat="false" ht="14.25" hidden="false" customHeight="true" outlineLevel="0" collapsed="false">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row>
    <row r="328" customFormat="false" ht="14.25" hidden="false" customHeight="true" outlineLevel="0" collapsed="false">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row>
    <row r="329" customFormat="false" ht="14.25" hidden="false" customHeight="true" outlineLevel="0" collapsed="false">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row>
    <row r="330" customFormat="false" ht="14.25" hidden="false" customHeight="true" outlineLevel="0" collapsed="false">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row>
    <row r="331" customFormat="false" ht="14.25" hidden="false" customHeight="true" outlineLevel="0" collapsed="false">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row>
    <row r="332" customFormat="false" ht="14.25" hidden="false" customHeight="true" outlineLevel="0" collapsed="false">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row>
    <row r="333" customFormat="false" ht="14.25" hidden="false" customHeight="true" outlineLevel="0" collapsed="false">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row>
    <row r="334" customFormat="false" ht="14.25" hidden="false" customHeight="true" outlineLevel="0" collapsed="false">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row>
    <row r="335" customFormat="false" ht="14.25" hidden="false" customHeight="true" outlineLevel="0" collapsed="false">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row>
    <row r="336" customFormat="false" ht="14.25" hidden="false" customHeight="true" outlineLevel="0" collapsed="false">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row>
    <row r="337" customFormat="false" ht="14.25" hidden="false" customHeight="true" outlineLevel="0" collapsed="false">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row>
    <row r="338" customFormat="false" ht="14.25" hidden="false" customHeight="true" outlineLevel="0" collapsed="false">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row>
    <row r="339" customFormat="false" ht="14.25" hidden="false" customHeight="true" outlineLevel="0" collapsed="false">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row>
    <row r="340" customFormat="false" ht="14.25" hidden="false" customHeight="true" outlineLevel="0" collapsed="false">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row>
    <row r="341" customFormat="false" ht="14.25" hidden="false" customHeight="true" outlineLevel="0" collapsed="false">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row>
    <row r="342" customFormat="false" ht="14.25" hidden="false" customHeight="true" outlineLevel="0" collapsed="false">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row>
    <row r="343" customFormat="false" ht="14.25" hidden="false" customHeight="true" outlineLevel="0" collapsed="false">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row>
    <row r="344" customFormat="false" ht="14.25" hidden="false" customHeight="true" outlineLevel="0" collapsed="false">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row>
    <row r="345" customFormat="false" ht="14.25" hidden="false" customHeight="true" outlineLevel="0" collapsed="false">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row>
    <row r="346" customFormat="false" ht="14.25" hidden="false" customHeight="true" outlineLevel="0" collapsed="false">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row>
    <row r="347" customFormat="false" ht="14.25" hidden="false" customHeight="true" outlineLevel="0" collapsed="false">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row>
    <row r="348" customFormat="false" ht="14.25" hidden="false" customHeight="true" outlineLevel="0" collapsed="false">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row>
    <row r="349" customFormat="false" ht="14.25" hidden="false" customHeight="true" outlineLevel="0" collapsed="false">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row>
    <row r="350" customFormat="false" ht="14.25" hidden="false" customHeight="true" outlineLevel="0" collapsed="false">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row>
    <row r="351" customFormat="false" ht="14.25" hidden="false" customHeight="true" outlineLevel="0" collapsed="false">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row>
    <row r="352" customFormat="false" ht="14.25" hidden="false" customHeight="true" outlineLevel="0" collapsed="false">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row>
    <row r="353" customFormat="false" ht="14.25" hidden="false" customHeight="true" outlineLevel="0" collapsed="false">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row>
    <row r="354" customFormat="false" ht="14.25" hidden="false" customHeight="true" outlineLevel="0" collapsed="false">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row>
    <row r="355" customFormat="false" ht="14.25" hidden="false" customHeight="true" outlineLevel="0" collapsed="false">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row>
    <row r="356" customFormat="false" ht="14.25" hidden="false" customHeight="true" outlineLevel="0" collapsed="false">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row>
    <row r="357" customFormat="false" ht="14.25" hidden="false" customHeight="true" outlineLevel="0" collapsed="false">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row>
    <row r="358" customFormat="false" ht="14.25" hidden="false" customHeight="true" outlineLevel="0" collapsed="false">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row>
    <row r="359" customFormat="false" ht="14.25" hidden="false" customHeight="true" outlineLevel="0" collapsed="false">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row>
    <row r="360" customFormat="false" ht="14.25" hidden="false" customHeight="true" outlineLevel="0" collapsed="false">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row>
    <row r="361" customFormat="false" ht="14.25" hidden="false" customHeight="true" outlineLevel="0" collapsed="false">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row>
    <row r="362" customFormat="false" ht="14.25" hidden="false" customHeight="true" outlineLevel="0" collapsed="false">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row>
    <row r="363" customFormat="false" ht="14.25" hidden="false" customHeight="true" outlineLevel="0" collapsed="false">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row>
    <row r="364" customFormat="false" ht="14.25" hidden="false" customHeight="true" outlineLevel="0" collapsed="false">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row>
    <row r="365" customFormat="false" ht="14.25" hidden="false" customHeight="true" outlineLevel="0" collapsed="false">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row>
    <row r="366" customFormat="false" ht="14.25" hidden="false" customHeight="true" outlineLevel="0" collapsed="false">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row>
    <row r="367" customFormat="false" ht="14.25" hidden="false" customHeight="true" outlineLevel="0" collapsed="false">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row>
    <row r="368" customFormat="false" ht="14.25" hidden="false" customHeight="true" outlineLevel="0" collapsed="false">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row>
    <row r="369" customFormat="false" ht="14.25" hidden="false" customHeight="true" outlineLevel="0" collapsed="false">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row>
    <row r="370" customFormat="false" ht="14.25" hidden="false" customHeight="true" outlineLevel="0" collapsed="false">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row>
    <row r="371" customFormat="false" ht="14.25" hidden="false" customHeight="true" outlineLevel="0" collapsed="false">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row>
    <row r="372" customFormat="false" ht="14.25" hidden="false" customHeight="true" outlineLevel="0" collapsed="false">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row>
    <row r="373" customFormat="false" ht="14.25" hidden="false" customHeight="true" outlineLevel="0" collapsed="false">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row>
    <row r="374" customFormat="false" ht="14.25" hidden="false" customHeight="true" outlineLevel="0" collapsed="false">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row>
    <row r="375" customFormat="false" ht="14.25" hidden="false" customHeight="true" outlineLevel="0" collapsed="false">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row>
    <row r="376" customFormat="false" ht="14.25" hidden="false" customHeight="true" outlineLevel="0" collapsed="false">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row>
    <row r="377" customFormat="false" ht="14.25" hidden="false" customHeight="true" outlineLevel="0" collapsed="false">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row>
    <row r="378" customFormat="false" ht="14.25" hidden="false" customHeight="true" outlineLevel="0" collapsed="false">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row>
    <row r="379" customFormat="false" ht="14.25" hidden="false" customHeight="true" outlineLevel="0" collapsed="false">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row>
    <row r="380" customFormat="false" ht="14.25" hidden="false" customHeight="true" outlineLevel="0" collapsed="false">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row>
    <row r="381" customFormat="false" ht="14.25" hidden="false" customHeight="true" outlineLevel="0" collapsed="false">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row>
    <row r="382" customFormat="false" ht="14.25" hidden="false" customHeight="true" outlineLevel="0" collapsed="false">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row>
    <row r="383" customFormat="false" ht="14.25" hidden="false" customHeight="true" outlineLevel="0" collapsed="false">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row>
    <row r="384" customFormat="false" ht="14.25" hidden="false" customHeight="true" outlineLevel="0" collapsed="false">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row>
    <row r="385" customFormat="false" ht="14.25" hidden="false" customHeight="true" outlineLevel="0" collapsed="false">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row>
    <row r="386" customFormat="false" ht="14.25" hidden="false" customHeight="true" outlineLevel="0" collapsed="false">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row>
    <row r="387" customFormat="false" ht="14.25" hidden="false" customHeight="true" outlineLevel="0" collapsed="false">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row>
    <row r="388" customFormat="false" ht="14.25" hidden="false" customHeight="true" outlineLevel="0" collapsed="false">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row>
    <row r="389" customFormat="false" ht="14.25" hidden="false" customHeight="true" outlineLevel="0" collapsed="false">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row>
    <row r="390" customFormat="false" ht="14.25" hidden="false" customHeight="true" outlineLevel="0" collapsed="false">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row>
    <row r="391" customFormat="false" ht="14.25" hidden="false" customHeight="true" outlineLevel="0" collapsed="false">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row>
    <row r="392" customFormat="false" ht="14.25" hidden="false" customHeight="true" outlineLevel="0" collapsed="false">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row>
    <row r="393" customFormat="false" ht="14.25" hidden="false" customHeight="true" outlineLevel="0" collapsed="false">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row>
    <row r="394" customFormat="false" ht="14.25" hidden="false" customHeight="true" outlineLevel="0" collapsed="false">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row>
    <row r="395" customFormat="false" ht="14.25" hidden="false" customHeight="true" outlineLevel="0" collapsed="false">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row>
    <row r="396" customFormat="false" ht="14.25" hidden="false" customHeight="true" outlineLevel="0" collapsed="false">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row>
    <row r="397" customFormat="false" ht="14.25" hidden="false" customHeight="true" outlineLevel="0" collapsed="false">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row>
    <row r="398" customFormat="false" ht="14.25" hidden="false" customHeight="true" outlineLevel="0" collapsed="false">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row>
    <row r="399" customFormat="false" ht="14.25" hidden="false" customHeight="true" outlineLevel="0" collapsed="false">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row>
    <row r="400" customFormat="false" ht="14.25" hidden="false" customHeight="true" outlineLevel="0" collapsed="false">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row>
    <row r="401" customFormat="false" ht="14.25" hidden="false" customHeight="true" outlineLevel="0" collapsed="false">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row>
    <row r="402" customFormat="false" ht="14.25" hidden="false" customHeight="true" outlineLevel="0" collapsed="false">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row>
    <row r="403" customFormat="false" ht="14.25" hidden="false" customHeight="true" outlineLevel="0" collapsed="false">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row>
    <row r="404" customFormat="false" ht="14.25" hidden="false" customHeight="true" outlineLevel="0" collapsed="false">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row>
    <row r="405" customFormat="false" ht="14.25" hidden="false" customHeight="true" outlineLevel="0" collapsed="false">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row>
    <row r="406" customFormat="false" ht="14.25" hidden="false" customHeight="true" outlineLevel="0" collapsed="false">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row>
    <row r="407" customFormat="false" ht="14.25" hidden="false" customHeight="true" outlineLevel="0" collapsed="false">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row>
    <row r="408" customFormat="false" ht="14.25" hidden="false" customHeight="true" outlineLevel="0" collapsed="false">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row>
    <row r="409" customFormat="false" ht="14.25" hidden="false" customHeight="true" outlineLevel="0" collapsed="false">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row>
    <row r="410" customFormat="false" ht="14.25" hidden="false" customHeight="true" outlineLevel="0" collapsed="false">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row>
    <row r="411" customFormat="false" ht="14.25" hidden="false" customHeight="true" outlineLevel="0" collapsed="false">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row>
    <row r="412" customFormat="false" ht="14.25" hidden="false" customHeight="true" outlineLevel="0" collapsed="false">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row>
    <row r="413" customFormat="false" ht="14.25" hidden="false" customHeight="true" outlineLevel="0" collapsed="false">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row>
    <row r="414" customFormat="false" ht="14.25" hidden="false" customHeight="true" outlineLevel="0" collapsed="false">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row>
    <row r="415" customFormat="false" ht="14.25" hidden="false" customHeight="true" outlineLevel="0" collapsed="false">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row>
    <row r="416" customFormat="false" ht="14.25" hidden="false" customHeight="true" outlineLevel="0" collapsed="false">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row>
    <row r="417" customFormat="false" ht="14.25" hidden="false" customHeight="true" outlineLevel="0" collapsed="false">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row>
    <row r="418" customFormat="false" ht="14.25" hidden="false" customHeight="true" outlineLevel="0" collapsed="false">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row>
    <row r="419" customFormat="false" ht="14.25" hidden="false" customHeight="true" outlineLevel="0" collapsed="false">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row>
    <row r="420" customFormat="false" ht="14.25" hidden="false" customHeight="true" outlineLevel="0" collapsed="false">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row>
    <row r="421" customFormat="false" ht="14.25" hidden="false" customHeight="true" outlineLevel="0" collapsed="false">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row>
    <row r="422" customFormat="false" ht="14.25" hidden="false" customHeight="true" outlineLevel="0" collapsed="false">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row>
    <row r="423" customFormat="false" ht="14.25" hidden="false" customHeight="true" outlineLevel="0" collapsed="false">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row>
    <row r="424" customFormat="false" ht="14.25" hidden="false" customHeight="true" outlineLevel="0" collapsed="false">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row>
    <row r="425" customFormat="false" ht="14.25" hidden="false" customHeight="true" outlineLevel="0" collapsed="false">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row>
    <row r="426" customFormat="false" ht="14.25" hidden="false" customHeight="true" outlineLevel="0" collapsed="false">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row>
    <row r="427" customFormat="false" ht="14.25" hidden="false" customHeight="true" outlineLevel="0" collapsed="false">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row>
    <row r="428" customFormat="false" ht="14.25" hidden="false" customHeight="true" outlineLevel="0" collapsed="false">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row>
    <row r="429" customFormat="false" ht="14.25" hidden="false" customHeight="true" outlineLevel="0" collapsed="false">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row>
    <row r="430" customFormat="false" ht="14.25" hidden="false" customHeight="true" outlineLevel="0" collapsed="false">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row>
    <row r="431" customFormat="false" ht="14.25" hidden="false" customHeight="true" outlineLevel="0" collapsed="false">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row>
    <row r="432" customFormat="false" ht="14.25" hidden="false" customHeight="true" outlineLevel="0" collapsed="false">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row>
    <row r="433" customFormat="false" ht="14.25" hidden="false" customHeight="true" outlineLevel="0" collapsed="false">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row>
    <row r="434" customFormat="false" ht="14.25" hidden="false" customHeight="true" outlineLevel="0" collapsed="false">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row>
    <row r="435" customFormat="false" ht="14.25" hidden="false" customHeight="true" outlineLevel="0" collapsed="false">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row>
    <row r="436" customFormat="false" ht="14.25" hidden="false" customHeight="true" outlineLevel="0" collapsed="false">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row>
    <row r="437" customFormat="false" ht="14.25" hidden="false" customHeight="true" outlineLevel="0" collapsed="false">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row>
    <row r="438" customFormat="false" ht="14.25" hidden="false" customHeight="true" outlineLevel="0" collapsed="false">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row>
    <row r="439" customFormat="false" ht="14.25" hidden="false" customHeight="true" outlineLevel="0" collapsed="false">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row>
    <row r="440" customFormat="false" ht="14.25" hidden="false" customHeight="true" outlineLevel="0" collapsed="false">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row>
    <row r="441" customFormat="false" ht="14.25" hidden="false" customHeight="true" outlineLevel="0" collapsed="false">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row>
    <row r="442" customFormat="false" ht="14.25" hidden="false" customHeight="true" outlineLevel="0" collapsed="false">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row>
    <row r="443" customFormat="false" ht="14.25" hidden="false" customHeight="true" outlineLevel="0" collapsed="false">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row>
    <row r="444" customFormat="false" ht="14.25" hidden="false" customHeight="true" outlineLevel="0" collapsed="false">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row>
    <row r="445" customFormat="false" ht="14.25" hidden="false" customHeight="true" outlineLevel="0" collapsed="false">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row>
    <row r="446" customFormat="false" ht="14.25" hidden="false" customHeight="true" outlineLevel="0" collapsed="false">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row>
    <row r="447" customFormat="false" ht="14.25" hidden="false" customHeight="true" outlineLevel="0" collapsed="false">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row>
    <row r="448" customFormat="false" ht="14.25" hidden="false" customHeight="true" outlineLevel="0" collapsed="false">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row>
    <row r="449" customFormat="false" ht="14.25" hidden="false" customHeight="true" outlineLevel="0" collapsed="false">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row>
    <row r="450" customFormat="false" ht="14.25" hidden="false" customHeight="true" outlineLevel="0" collapsed="false">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row>
    <row r="451" customFormat="false" ht="14.25" hidden="false" customHeight="true" outlineLevel="0" collapsed="false">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row>
    <row r="452" customFormat="false" ht="14.25" hidden="false" customHeight="true" outlineLevel="0" collapsed="false">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row>
    <row r="453" customFormat="false" ht="14.25" hidden="false" customHeight="true" outlineLevel="0" collapsed="false">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row>
    <row r="454" customFormat="false" ht="14.25" hidden="false" customHeight="true" outlineLevel="0" collapsed="false">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row>
    <row r="455" customFormat="false" ht="14.25" hidden="false" customHeight="true" outlineLevel="0" collapsed="false">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row>
    <row r="456" customFormat="false" ht="14.25" hidden="false" customHeight="true" outlineLevel="0" collapsed="false">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row>
    <row r="457" customFormat="false" ht="14.25" hidden="false" customHeight="true" outlineLevel="0" collapsed="false">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row>
    <row r="458" customFormat="false" ht="14.25" hidden="false" customHeight="true" outlineLevel="0" collapsed="false">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row>
    <row r="459" customFormat="false" ht="14.25" hidden="false" customHeight="true" outlineLevel="0" collapsed="false">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row>
    <row r="460" customFormat="false" ht="14.25" hidden="false" customHeight="true" outlineLevel="0" collapsed="false">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row>
    <row r="461" customFormat="false" ht="14.25" hidden="false" customHeight="true" outlineLevel="0" collapsed="false">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row>
    <row r="462" customFormat="false" ht="14.25" hidden="false" customHeight="true" outlineLevel="0" collapsed="false">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row>
    <row r="463" customFormat="false" ht="14.25" hidden="false" customHeight="true" outlineLevel="0" collapsed="false">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row>
    <row r="464" customFormat="false" ht="14.25" hidden="false" customHeight="true" outlineLevel="0" collapsed="false">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row>
    <row r="465" customFormat="false" ht="14.25" hidden="false" customHeight="true" outlineLevel="0" collapsed="false">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row>
    <row r="466" customFormat="false" ht="14.25" hidden="false" customHeight="true" outlineLevel="0" collapsed="false">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row>
    <row r="467" customFormat="false" ht="14.25" hidden="false" customHeight="true" outlineLevel="0" collapsed="false">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row>
    <row r="468" customFormat="false" ht="14.25" hidden="false" customHeight="true" outlineLevel="0" collapsed="false">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row>
    <row r="469" customFormat="false" ht="14.25" hidden="false" customHeight="true" outlineLevel="0" collapsed="false">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row>
    <row r="470" customFormat="false" ht="14.25" hidden="false" customHeight="true" outlineLevel="0" collapsed="false">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row>
    <row r="471" customFormat="false" ht="14.25" hidden="false" customHeight="true" outlineLevel="0" collapsed="false">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row>
    <row r="472" customFormat="false" ht="14.25" hidden="false" customHeight="true" outlineLevel="0" collapsed="false">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row>
    <row r="473" customFormat="false" ht="14.25" hidden="false" customHeight="true" outlineLevel="0" collapsed="false">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row>
    <row r="474" customFormat="false" ht="14.25" hidden="false" customHeight="true" outlineLevel="0" collapsed="false">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row>
    <row r="475" customFormat="false" ht="14.25" hidden="false" customHeight="true" outlineLevel="0" collapsed="false">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row>
    <row r="476" customFormat="false" ht="14.25" hidden="false" customHeight="true" outlineLevel="0" collapsed="false">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row>
    <row r="477" customFormat="false" ht="14.25" hidden="false" customHeight="true" outlineLevel="0" collapsed="false">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row>
    <row r="478" customFormat="false" ht="14.25" hidden="false" customHeight="true" outlineLevel="0" collapsed="false">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row>
    <row r="479" customFormat="false" ht="14.25" hidden="false" customHeight="true" outlineLevel="0" collapsed="false">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row>
    <row r="480" customFormat="false" ht="14.25" hidden="false" customHeight="true" outlineLevel="0" collapsed="false">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row>
    <row r="481" customFormat="false" ht="14.25" hidden="false" customHeight="true" outlineLevel="0" collapsed="false">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row>
    <row r="482" customFormat="false" ht="14.25" hidden="false" customHeight="true" outlineLevel="0" collapsed="false">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row>
    <row r="483" customFormat="false" ht="14.25" hidden="false" customHeight="true" outlineLevel="0" collapsed="false">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row>
    <row r="484" customFormat="false" ht="14.25" hidden="false" customHeight="true" outlineLevel="0" collapsed="false">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row>
    <row r="485" customFormat="false" ht="14.25" hidden="false" customHeight="true" outlineLevel="0" collapsed="false">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row>
    <row r="486" customFormat="false" ht="14.25" hidden="false" customHeight="true" outlineLevel="0" collapsed="false">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row>
    <row r="487" customFormat="false" ht="14.25" hidden="false" customHeight="true" outlineLevel="0" collapsed="false">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row>
    <row r="488" customFormat="false" ht="14.25" hidden="false" customHeight="true" outlineLevel="0" collapsed="false">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row>
    <row r="489" customFormat="false" ht="14.25" hidden="false" customHeight="true" outlineLevel="0" collapsed="false">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row>
    <row r="490" customFormat="false" ht="14.25" hidden="false" customHeight="true" outlineLevel="0" collapsed="false">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row>
    <row r="491" customFormat="false" ht="14.25" hidden="false" customHeight="true" outlineLevel="0" collapsed="false">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row>
    <row r="492" customFormat="false" ht="14.25" hidden="false" customHeight="true" outlineLevel="0" collapsed="false">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row>
    <row r="493" customFormat="false" ht="14.25" hidden="false" customHeight="true" outlineLevel="0" collapsed="false">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row>
    <row r="494" customFormat="false" ht="14.25" hidden="false" customHeight="true" outlineLevel="0" collapsed="false">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row>
    <row r="495" customFormat="false" ht="14.25" hidden="false" customHeight="true" outlineLevel="0" collapsed="false">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row>
    <row r="496" customFormat="false" ht="14.25" hidden="false" customHeight="true" outlineLevel="0" collapsed="false">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row>
    <row r="497" customFormat="false" ht="14.25" hidden="false" customHeight="true" outlineLevel="0" collapsed="false">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row>
    <row r="498" customFormat="false" ht="14.25" hidden="false" customHeight="true" outlineLevel="0" collapsed="false">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row>
    <row r="499" customFormat="false" ht="14.25" hidden="false" customHeight="true" outlineLevel="0" collapsed="false">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row>
    <row r="500" customFormat="false" ht="14.25" hidden="false" customHeight="true" outlineLevel="0" collapsed="false">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row>
    <row r="501" customFormat="false" ht="14.25" hidden="false" customHeight="true" outlineLevel="0" collapsed="false">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row>
    <row r="502" customFormat="false" ht="14.25" hidden="false" customHeight="true" outlineLevel="0" collapsed="false">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row>
    <row r="503" customFormat="false" ht="14.25" hidden="false" customHeight="true" outlineLevel="0" collapsed="false">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row>
    <row r="504" customFormat="false" ht="14.25" hidden="false" customHeight="true" outlineLevel="0" collapsed="false">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row>
    <row r="505" customFormat="false" ht="14.25" hidden="false" customHeight="true" outlineLevel="0" collapsed="false">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row>
    <row r="506" customFormat="false" ht="14.25" hidden="false" customHeight="true" outlineLevel="0" collapsed="false">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row>
    <row r="507" customFormat="false" ht="14.25" hidden="false" customHeight="true" outlineLevel="0" collapsed="false">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row>
    <row r="508" customFormat="false" ht="14.25" hidden="false" customHeight="true" outlineLevel="0" collapsed="false">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row>
    <row r="509" customFormat="false" ht="14.25" hidden="false" customHeight="true" outlineLevel="0" collapsed="false">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row>
    <row r="510" customFormat="false" ht="14.25" hidden="false" customHeight="true" outlineLevel="0" collapsed="false">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row>
    <row r="511" customFormat="false" ht="14.25" hidden="false" customHeight="true" outlineLevel="0" collapsed="false">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row>
    <row r="512" customFormat="false" ht="14.25" hidden="false" customHeight="true" outlineLevel="0" collapsed="false">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row>
    <row r="513" customFormat="false" ht="14.25" hidden="false" customHeight="true" outlineLevel="0" collapsed="false">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row>
    <row r="514" customFormat="false" ht="14.25" hidden="false" customHeight="true" outlineLevel="0" collapsed="false">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row>
    <row r="515" customFormat="false" ht="14.25" hidden="false" customHeight="true" outlineLevel="0" collapsed="false">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row>
    <row r="516" customFormat="false" ht="14.25" hidden="false" customHeight="true" outlineLevel="0" collapsed="false">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row>
    <row r="517" customFormat="false" ht="14.25" hidden="false" customHeight="true" outlineLevel="0" collapsed="false">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row>
    <row r="518" customFormat="false" ht="14.25" hidden="false" customHeight="true" outlineLevel="0" collapsed="false">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row>
    <row r="519" customFormat="false" ht="14.25" hidden="false" customHeight="true" outlineLevel="0" collapsed="false">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row>
    <row r="520" customFormat="false" ht="14.25" hidden="false" customHeight="true" outlineLevel="0" collapsed="false">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row>
    <row r="521" customFormat="false" ht="14.25" hidden="false" customHeight="true" outlineLevel="0" collapsed="false">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row>
    <row r="522" customFormat="false" ht="14.25" hidden="false" customHeight="true" outlineLevel="0" collapsed="false">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row>
    <row r="523" customFormat="false" ht="14.25" hidden="false" customHeight="true" outlineLevel="0" collapsed="false">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row>
    <row r="524" customFormat="false" ht="14.25" hidden="false" customHeight="true" outlineLevel="0" collapsed="false">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row>
    <row r="525" customFormat="false" ht="14.25" hidden="false" customHeight="true" outlineLevel="0" collapsed="false">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row>
    <row r="526" customFormat="false" ht="14.25" hidden="false" customHeight="true" outlineLevel="0" collapsed="false">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row>
    <row r="527" customFormat="false" ht="14.25" hidden="false" customHeight="true" outlineLevel="0" collapsed="false">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row>
    <row r="528" customFormat="false" ht="14.25" hidden="false" customHeight="true" outlineLevel="0" collapsed="false">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row>
    <row r="529" customFormat="false" ht="14.25" hidden="false" customHeight="true" outlineLevel="0" collapsed="false">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row>
    <row r="530" customFormat="false" ht="14.25" hidden="false" customHeight="true" outlineLevel="0" collapsed="false">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row>
    <row r="531" customFormat="false" ht="14.25" hidden="false" customHeight="true" outlineLevel="0" collapsed="false">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row>
    <row r="532" customFormat="false" ht="14.25" hidden="false" customHeight="true" outlineLevel="0" collapsed="false">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row>
    <row r="533" customFormat="false" ht="14.25" hidden="false" customHeight="true" outlineLevel="0" collapsed="false">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row>
    <row r="534" customFormat="false" ht="14.25" hidden="false" customHeight="true" outlineLevel="0" collapsed="false">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row>
    <row r="535" customFormat="false" ht="14.25" hidden="false" customHeight="true" outlineLevel="0" collapsed="false">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row>
    <row r="536" customFormat="false" ht="14.25" hidden="false" customHeight="true" outlineLevel="0" collapsed="false">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row>
    <row r="537" customFormat="false" ht="14.25" hidden="false" customHeight="true" outlineLevel="0" collapsed="false">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row>
    <row r="538" customFormat="false" ht="14.25" hidden="false" customHeight="true" outlineLevel="0" collapsed="false">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row>
    <row r="539" customFormat="false" ht="14.25" hidden="false" customHeight="true" outlineLevel="0" collapsed="false">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row>
    <row r="540" customFormat="false" ht="14.25" hidden="false" customHeight="true" outlineLevel="0" collapsed="false">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row>
    <row r="541" customFormat="false" ht="14.25" hidden="false" customHeight="true" outlineLevel="0" collapsed="false">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row>
    <row r="542" customFormat="false" ht="14.25" hidden="false" customHeight="true" outlineLevel="0" collapsed="false">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row>
    <row r="543" customFormat="false" ht="14.25" hidden="false" customHeight="true" outlineLevel="0" collapsed="false">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row>
    <row r="544" customFormat="false" ht="14.25" hidden="false" customHeight="true" outlineLevel="0" collapsed="false">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row>
    <row r="545" customFormat="false" ht="14.25" hidden="false" customHeight="true" outlineLevel="0" collapsed="false">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row>
    <row r="546" customFormat="false" ht="14.25" hidden="false" customHeight="true" outlineLevel="0" collapsed="false">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row>
    <row r="547" customFormat="false" ht="14.25" hidden="false" customHeight="true" outlineLevel="0" collapsed="false">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row>
    <row r="548" customFormat="false" ht="14.25" hidden="false" customHeight="true" outlineLevel="0" collapsed="false">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row>
    <row r="549" customFormat="false" ht="14.25" hidden="false" customHeight="true" outlineLevel="0" collapsed="false">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row>
    <row r="550" customFormat="false" ht="14.25" hidden="false" customHeight="true" outlineLevel="0" collapsed="false">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row>
    <row r="551" customFormat="false" ht="14.25" hidden="false" customHeight="true" outlineLevel="0" collapsed="false">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row>
    <row r="552" customFormat="false" ht="14.25" hidden="false" customHeight="true" outlineLevel="0" collapsed="false">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row>
    <row r="553" customFormat="false" ht="14.25" hidden="false" customHeight="true" outlineLevel="0" collapsed="false">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row>
    <row r="554" customFormat="false" ht="14.25" hidden="false" customHeight="true" outlineLevel="0" collapsed="false">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row>
    <row r="555" customFormat="false" ht="14.25" hidden="false" customHeight="true" outlineLevel="0" collapsed="false">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row>
    <row r="556" customFormat="false" ht="14.25" hidden="false" customHeight="true" outlineLevel="0" collapsed="false">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row>
    <row r="557" customFormat="false" ht="14.25" hidden="false" customHeight="true" outlineLevel="0" collapsed="false">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row>
    <row r="558" customFormat="false" ht="14.25" hidden="false" customHeight="true" outlineLevel="0" collapsed="false">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row>
    <row r="559" customFormat="false" ht="14.25" hidden="false" customHeight="true" outlineLevel="0" collapsed="false">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row>
    <row r="560" customFormat="false" ht="14.25" hidden="false" customHeight="true" outlineLevel="0" collapsed="false">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row>
    <row r="561" customFormat="false" ht="14.25" hidden="false" customHeight="true" outlineLevel="0" collapsed="false">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row>
    <row r="562" customFormat="false" ht="14.25" hidden="false" customHeight="true" outlineLevel="0" collapsed="false">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row>
    <row r="563" customFormat="false" ht="14.25" hidden="false" customHeight="true" outlineLevel="0" collapsed="false">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row>
    <row r="564" customFormat="false" ht="14.25" hidden="false" customHeight="true" outlineLevel="0" collapsed="false">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row>
    <row r="565" customFormat="false" ht="14.25" hidden="false" customHeight="true" outlineLevel="0" collapsed="false">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row>
    <row r="566" customFormat="false" ht="14.25" hidden="false" customHeight="true" outlineLevel="0" collapsed="false">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row>
    <row r="567" customFormat="false" ht="14.25" hidden="false" customHeight="true" outlineLevel="0" collapsed="false">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row>
    <row r="568" customFormat="false" ht="14.25" hidden="false" customHeight="true" outlineLevel="0" collapsed="false">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row>
    <row r="569" customFormat="false" ht="14.25" hidden="false" customHeight="true" outlineLevel="0" collapsed="false">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row>
    <row r="570" customFormat="false" ht="14.25" hidden="false" customHeight="true" outlineLevel="0" collapsed="false">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row>
    <row r="571" customFormat="false" ht="14.25" hidden="false" customHeight="true" outlineLevel="0" collapsed="false">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row>
    <row r="572" customFormat="false" ht="14.25" hidden="false" customHeight="true" outlineLevel="0" collapsed="false">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row>
    <row r="573" customFormat="false" ht="14.25" hidden="false" customHeight="true" outlineLevel="0" collapsed="false">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row>
    <row r="574" customFormat="false" ht="14.25" hidden="false" customHeight="true" outlineLevel="0" collapsed="false">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row>
    <row r="575" customFormat="false" ht="14.25" hidden="false" customHeight="true" outlineLevel="0" collapsed="false">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row>
    <row r="576" customFormat="false" ht="14.25" hidden="false" customHeight="true" outlineLevel="0" collapsed="false">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row>
    <row r="577" customFormat="false" ht="14.25" hidden="false" customHeight="true" outlineLevel="0" collapsed="false">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row>
    <row r="578" customFormat="false" ht="14.25" hidden="false" customHeight="true" outlineLevel="0" collapsed="false">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row>
    <row r="579" customFormat="false" ht="14.25" hidden="false" customHeight="true" outlineLevel="0" collapsed="false">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row>
    <row r="580" customFormat="false" ht="14.25" hidden="false" customHeight="true" outlineLevel="0" collapsed="false">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row>
    <row r="581" customFormat="false" ht="14.25" hidden="false" customHeight="true" outlineLevel="0" collapsed="false">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row>
    <row r="582" customFormat="false" ht="14.25" hidden="false" customHeight="true" outlineLevel="0" collapsed="false">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row>
    <row r="583" customFormat="false" ht="14.25" hidden="false" customHeight="true" outlineLevel="0" collapsed="false">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row>
    <row r="584" customFormat="false" ht="14.25" hidden="false" customHeight="true" outlineLevel="0" collapsed="false">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row>
    <row r="585" customFormat="false" ht="14.25" hidden="false" customHeight="true" outlineLevel="0" collapsed="false">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row>
    <row r="586" customFormat="false" ht="14.25" hidden="false" customHeight="true" outlineLevel="0" collapsed="false">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row>
    <row r="587" customFormat="false" ht="14.25" hidden="false" customHeight="true" outlineLevel="0" collapsed="false">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row>
    <row r="588" customFormat="false" ht="14.25" hidden="false" customHeight="true" outlineLevel="0" collapsed="false">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row>
    <row r="589" customFormat="false" ht="14.25" hidden="false" customHeight="true" outlineLevel="0" collapsed="false">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row>
    <row r="590" customFormat="false" ht="14.25" hidden="false" customHeight="true" outlineLevel="0" collapsed="false">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row>
    <row r="591" customFormat="false" ht="14.25" hidden="false" customHeight="true" outlineLevel="0" collapsed="false">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row>
    <row r="592" customFormat="false" ht="14.25" hidden="false" customHeight="true" outlineLevel="0" collapsed="false">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row>
    <row r="593" customFormat="false" ht="14.25" hidden="false" customHeight="true" outlineLevel="0" collapsed="false">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row>
    <row r="594" customFormat="false" ht="14.25" hidden="false" customHeight="true" outlineLevel="0" collapsed="false">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row>
    <row r="595" customFormat="false" ht="14.25" hidden="false" customHeight="true" outlineLevel="0" collapsed="false">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row>
    <row r="596" customFormat="false" ht="14.25" hidden="false" customHeight="true" outlineLevel="0" collapsed="false">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row>
    <row r="597" customFormat="false" ht="14.25" hidden="false" customHeight="true" outlineLevel="0" collapsed="false">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row>
    <row r="598" customFormat="false" ht="14.25" hidden="false" customHeight="true" outlineLevel="0" collapsed="false">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row>
    <row r="599" customFormat="false" ht="14.25" hidden="false" customHeight="true" outlineLevel="0" collapsed="false">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row>
    <row r="600" customFormat="false" ht="14.25" hidden="false" customHeight="true" outlineLevel="0" collapsed="false">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row>
    <row r="601" customFormat="false" ht="14.25" hidden="false" customHeight="true" outlineLevel="0" collapsed="false">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row>
    <row r="602" customFormat="false" ht="14.25" hidden="false" customHeight="true" outlineLevel="0" collapsed="false">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row>
    <row r="603" customFormat="false" ht="14.25" hidden="false" customHeight="true" outlineLevel="0" collapsed="false">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row>
    <row r="604" customFormat="false" ht="14.25" hidden="false" customHeight="true" outlineLevel="0" collapsed="false">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row>
    <row r="605" customFormat="false" ht="14.25" hidden="false" customHeight="true" outlineLevel="0" collapsed="false">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row>
    <row r="606" customFormat="false" ht="14.25" hidden="false" customHeight="true" outlineLevel="0" collapsed="false">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row>
    <row r="607" customFormat="false" ht="14.25" hidden="false" customHeight="true" outlineLevel="0" collapsed="false">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row>
    <row r="608" customFormat="false" ht="14.25" hidden="false" customHeight="true" outlineLevel="0" collapsed="false">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row>
    <row r="609" customFormat="false" ht="14.25" hidden="false" customHeight="true" outlineLevel="0" collapsed="false">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row>
    <row r="610" customFormat="false" ht="14.25" hidden="false" customHeight="true" outlineLevel="0" collapsed="false">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row>
    <row r="611" customFormat="false" ht="14.25" hidden="false" customHeight="true" outlineLevel="0" collapsed="false">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row>
    <row r="612" customFormat="false" ht="14.25" hidden="false" customHeight="true" outlineLevel="0" collapsed="false">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row>
    <row r="613" customFormat="false" ht="14.25" hidden="false" customHeight="true" outlineLevel="0" collapsed="false">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row>
    <row r="614" customFormat="false" ht="14.25" hidden="false" customHeight="true" outlineLevel="0" collapsed="false">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row>
    <row r="615" customFormat="false" ht="14.25" hidden="false" customHeight="true" outlineLevel="0" collapsed="false">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row>
    <row r="616" customFormat="false" ht="14.25" hidden="false" customHeight="true" outlineLevel="0" collapsed="false">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row>
    <row r="617" customFormat="false" ht="14.25" hidden="false" customHeight="true" outlineLevel="0" collapsed="false">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row>
    <row r="618" customFormat="false" ht="14.25" hidden="false" customHeight="true" outlineLevel="0" collapsed="false">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row>
    <row r="619" customFormat="false" ht="14.25" hidden="false" customHeight="true" outlineLevel="0" collapsed="false">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row>
    <row r="620" customFormat="false" ht="14.25" hidden="false" customHeight="true" outlineLevel="0" collapsed="false">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row>
    <row r="621" customFormat="false" ht="14.25" hidden="false" customHeight="true" outlineLevel="0" collapsed="false">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row>
    <row r="622" customFormat="false" ht="14.25" hidden="false" customHeight="true" outlineLevel="0" collapsed="false">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row>
    <row r="623" customFormat="false" ht="14.25" hidden="false" customHeight="true" outlineLevel="0" collapsed="false">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row>
    <row r="624" customFormat="false" ht="14.25" hidden="false" customHeight="true" outlineLevel="0" collapsed="false">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row>
    <row r="625" customFormat="false" ht="14.25" hidden="false" customHeight="true" outlineLevel="0" collapsed="false">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row>
    <row r="626" customFormat="false" ht="14.25" hidden="false" customHeight="true" outlineLevel="0" collapsed="false">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row>
    <row r="627" customFormat="false" ht="14.25" hidden="false" customHeight="true" outlineLevel="0" collapsed="false">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row>
    <row r="628" customFormat="false" ht="14.25" hidden="false" customHeight="true" outlineLevel="0" collapsed="false">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row>
    <row r="629" customFormat="false" ht="14.25" hidden="false" customHeight="true" outlineLevel="0" collapsed="false">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row>
    <row r="630" customFormat="false" ht="14.25" hidden="false" customHeight="true" outlineLevel="0" collapsed="false">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row>
    <row r="631" customFormat="false" ht="14.25" hidden="false" customHeight="true" outlineLevel="0" collapsed="false">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row>
    <row r="632" customFormat="false" ht="14.25" hidden="false" customHeight="true" outlineLevel="0" collapsed="false">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row>
    <row r="633" customFormat="false" ht="14.25" hidden="false" customHeight="true" outlineLevel="0" collapsed="false">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row>
    <row r="634" customFormat="false" ht="14.25" hidden="false" customHeight="true" outlineLevel="0" collapsed="false">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row>
    <row r="635" customFormat="false" ht="14.25" hidden="false" customHeight="true" outlineLevel="0" collapsed="false">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row>
    <row r="636" customFormat="false" ht="14.25" hidden="false" customHeight="true" outlineLevel="0" collapsed="false">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row>
    <row r="637" customFormat="false" ht="14.25" hidden="false" customHeight="true" outlineLevel="0" collapsed="false">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row>
    <row r="638" customFormat="false" ht="14.25" hidden="false" customHeight="true" outlineLevel="0" collapsed="false">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row>
    <row r="639" customFormat="false" ht="14.25" hidden="false" customHeight="true" outlineLevel="0" collapsed="false">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row>
    <row r="640" customFormat="false" ht="14.25" hidden="false" customHeight="true" outlineLevel="0" collapsed="false">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row>
    <row r="641" customFormat="false" ht="14.25" hidden="false" customHeight="true" outlineLevel="0" collapsed="false">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row>
    <row r="642" customFormat="false" ht="14.25" hidden="false" customHeight="true" outlineLevel="0" collapsed="false">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row>
    <row r="643" customFormat="false" ht="14.25" hidden="false" customHeight="true" outlineLevel="0" collapsed="false">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row>
    <row r="644" customFormat="false" ht="14.25" hidden="false" customHeight="true" outlineLevel="0" collapsed="false">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row>
    <row r="645" customFormat="false" ht="14.25" hidden="false" customHeight="true" outlineLevel="0" collapsed="false">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row>
    <row r="646" customFormat="false" ht="14.25" hidden="false" customHeight="true" outlineLevel="0" collapsed="false">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row>
    <row r="647" customFormat="false" ht="14.25" hidden="false" customHeight="true" outlineLevel="0" collapsed="false">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row>
    <row r="648" customFormat="false" ht="14.25" hidden="false" customHeight="true" outlineLevel="0" collapsed="false">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row>
    <row r="649" customFormat="false" ht="14.25" hidden="false" customHeight="true" outlineLevel="0" collapsed="false">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row>
    <row r="650" customFormat="false" ht="14.25" hidden="false" customHeight="true" outlineLevel="0" collapsed="false">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row>
    <row r="651" customFormat="false" ht="14.25" hidden="false" customHeight="true" outlineLevel="0" collapsed="false">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row>
    <row r="652" customFormat="false" ht="14.25" hidden="false" customHeight="true" outlineLevel="0" collapsed="false">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row>
    <row r="653" customFormat="false" ht="14.25" hidden="false" customHeight="true" outlineLevel="0" collapsed="false">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row>
    <row r="654" customFormat="false" ht="14.25" hidden="false" customHeight="true" outlineLevel="0" collapsed="false">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row>
    <row r="655" customFormat="false" ht="14.25" hidden="false" customHeight="true" outlineLevel="0" collapsed="false">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row>
    <row r="656" customFormat="false" ht="14.25" hidden="false" customHeight="true" outlineLevel="0" collapsed="false">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row>
    <row r="657" customFormat="false" ht="14.25" hidden="false" customHeight="true" outlineLevel="0" collapsed="false">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row>
    <row r="658" customFormat="false" ht="14.25" hidden="false" customHeight="true" outlineLevel="0" collapsed="false">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row>
    <row r="659" customFormat="false" ht="14.25" hidden="false" customHeight="true" outlineLevel="0" collapsed="false">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row>
    <row r="660" customFormat="false" ht="14.25" hidden="false" customHeight="true" outlineLevel="0" collapsed="false">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row>
    <row r="661" customFormat="false" ht="14.25" hidden="false" customHeight="true" outlineLevel="0" collapsed="false">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row>
    <row r="662" customFormat="false" ht="14.25" hidden="false" customHeight="true" outlineLevel="0" collapsed="false">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row>
    <row r="663" customFormat="false" ht="14.25" hidden="false" customHeight="true" outlineLevel="0" collapsed="false">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row>
    <row r="664" customFormat="false" ht="14.25" hidden="false" customHeight="true" outlineLevel="0" collapsed="false">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row>
    <row r="665" customFormat="false" ht="14.25" hidden="false" customHeight="true" outlineLevel="0" collapsed="false">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row>
    <row r="666" customFormat="false" ht="14.25" hidden="false" customHeight="true" outlineLevel="0" collapsed="false">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row>
    <row r="667" customFormat="false" ht="14.25" hidden="false" customHeight="true" outlineLevel="0" collapsed="false">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row>
    <row r="668" customFormat="false" ht="14.25" hidden="false" customHeight="true" outlineLevel="0" collapsed="false">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row>
    <row r="669" customFormat="false" ht="14.25" hidden="false" customHeight="true" outlineLevel="0" collapsed="false">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row>
    <row r="670" customFormat="false" ht="14.25" hidden="false" customHeight="true" outlineLevel="0" collapsed="false">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row>
    <row r="671" customFormat="false" ht="14.25" hidden="false" customHeight="true" outlineLevel="0" collapsed="false">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row>
    <row r="672" customFormat="false" ht="14.25" hidden="false" customHeight="true" outlineLevel="0" collapsed="false">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row>
    <row r="673" customFormat="false" ht="14.25" hidden="false" customHeight="true" outlineLevel="0" collapsed="false">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row>
    <row r="674" customFormat="false" ht="14.25" hidden="false" customHeight="true" outlineLevel="0" collapsed="false">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row>
    <row r="675" customFormat="false" ht="14.25" hidden="false" customHeight="true" outlineLevel="0" collapsed="false">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row>
    <row r="676" customFormat="false" ht="14.25" hidden="false" customHeight="true" outlineLevel="0" collapsed="false">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row>
    <row r="677" customFormat="false" ht="14.25" hidden="false" customHeight="true" outlineLevel="0" collapsed="false">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row>
    <row r="678" customFormat="false" ht="14.25" hidden="false" customHeight="true" outlineLevel="0" collapsed="false">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row>
    <row r="679" customFormat="false" ht="14.25" hidden="false" customHeight="true" outlineLevel="0" collapsed="false">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row>
    <row r="680" customFormat="false" ht="14.25" hidden="false" customHeight="true" outlineLevel="0" collapsed="false">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row>
    <row r="681" customFormat="false" ht="14.25" hidden="false" customHeight="true" outlineLevel="0" collapsed="false">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row>
    <row r="682" customFormat="false" ht="14.25" hidden="false" customHeight="true" outlineLevel="0" collapsed="false">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row>
    <row r="683" customFormat="false" ht="14.25" hidden="false" customHeight="true" outlineLevel="0" collapsed="false">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row>
    <row r="684" customFormat="false" ht="14.25" hidden="false" customHeight="true" outlineLevel="0" collapsed="false">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row>
    <row r="685" customFormat="false" ht="14.25" hidden="false" customHeight="true" outlineLevel="0" collapsed="false">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row>
    <row r="686" customFormat="false" ht="14.25" hidden="false" customHeight="true" outlineLevel="0" collapsed="false">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row>
    <row r="687" customFormat="false" ht="14.25" hidden="false" customHeight="true" outlineLevel="0" collapsed="false">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row>
    <row r="688" customFormat="false" ht="14.25" hidden="false" customHeight="true" outlineLevel="0" collapsed="false">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row>
    <row r="689" customFormat="false" ht="14.25" hidden="false" customHeight="true" outlineLevel="0" collapsed="false">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row>
    <row r="690" customFormat="false" ht="14.25" hidden="false" customHeight="true" outlineLevel="0" collapsed="false">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row>
    <row r="691" customFormat="false" ht="14.25" hidden="false" customHeight="true" outlineLevel="0" collapsed="false">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row>
    <row r="692" customFormat="false" ht="14.25" hidden="false" customHeight="true" outlineLevel="0" collapsed="false">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row>
    <row r="693" customFormat="false" ht="14.25" hidden="false" customHeight="true" outlineLevel="0" collapsed="false">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row>
    <row r="694" customFormat="false" ht="14.25" hidden="false" customHeight="true" outlineLevel="0" collapsed="false">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row>
    <row r="695" customFormat="false" ht="14.25" hidden="false" customHeight="true" outlineLevel="0" collapsed="false">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row>
    <row r="696" customFormat="false" ht="14.25" hidden="false" customHeight="true" outlineLevel="0" collapsed="false">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row>
    <row r="697" customFormat="false" ht="14.25" hidden="false" customHeight="true" outlineLevel="0" collapsed="false">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row>
    <row r="698" customFormat="false" ht="14.25" hidden="false" customHeight="true" outlineLevel="0" collapsed="false">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row>
    <row r="699" customFormat="false" ht="14.25" hidden="false" customHeight="true" outlineLevel="0" collapsed="false">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row>
    <row r="700" customFormat="false" ht="14.25" hidden="false" customHeight="true" outlineLevel="0" collapsed="false">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row>
    <row r="701" customFormat="false" ht="14.25" hidden="false" customHeight="true" outlineLevel="0" collapsed="false">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row>
    <row r="702" customFormat="false" ht="14.25" hidden="false" customHeight="true" outlineLevel="0" collapsed="false">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row>
    <row r="703" customFormat="false" ht="14.25" hidden="false" customHeight="true" outlineLevel="0" collapsed="false">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row>
    <row r="704" customFormat="false" ht="14.25" hidden="false" customHeight="true" outlineLevel="0" collapsed="false">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row>
    <row r="705" customFormat="false" ht="14.25" hidden="false" customHeight="true" outlineLevel="0" collapsed="false">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row>
    <row r="706" customFormat="false" ht="14.25" hidden="false" customHeight="true" outlineLevel="0" collapsed="false">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row>
    <row r="707" customFormat="false" ht="14.25" hidden="false" customHeight="true" outlineLevel="0" collapsed="false">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row>
    <row r="708" customFormat="false" ht="14.25" hidden="false" customHeight="true" outlineLevel="0" collapsed="false">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row>
    <row r="709" customFormat="false" ht="14.25" hidden="false" customHeight="true" outlineLevel="0" collapsed="false">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row>
    <row r="710" customFormat="false" ht="14.25" hidden="false" customHeight="true" outlineLevel="0" collapsed="false">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row>
    <row r="711" customFormat="false" ht="14.25" hidden="false" customHeight="true" outlineLevel="0" collapsed="false">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row>
    <row r="712" customFormat="false" ht="14.25" hidden="false" customHeight="true" outlineLevel="0" collapsed="false">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row>
    <row r="713" customFormat="false" ht="14.25" hidden="false" customHeight="true" outlineLevel="0" collapsed="false">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row>
    <row r="714" customFormat="false" ht="14.25" hidden="false" customHeight="true" outlineLevel="0" collapsed="false">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row>
    <row r="715" customFormat="false" ht="14.25" hidden="false" customHeight="true" outlineLevel="0" collapsed="false">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row>
    <row r="716" customFormat="false" ht="14.25" hidden="false" customHeight="true" outlineLevel="0" collapsed="false">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row>
    <row r="717" customFormat="false" ht="14.25" hidden="false" customHeight="true" outlineLevel="0" collapsed="false">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row>
    <row r="718" customFormat="false" ht="14.25" hidden="false" customHeight="true" outlineLevel="0" collapsed="false">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row>
    <row r="719" customFormat="false" ht="14.25" hidden="false" customHeight="true" outlineLevel="0" collapsed="false">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row>
    <row r="720" customFormat="false" ht="14.25" hidden="false" customHeight="true" outlineLevel="0" collapsed="false">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row>
    <row r="721" customFormat="false" ht="14.25" hidden="false" customHeight="true" outlineLevel="0" collapsed="false">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row>
    <row r="722" customFormat="false" ht="14.25" hidden="false" customHeight="true" outlineLevel="0" collapsed="false">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row>
    <row r="723" customFormat="false" ht="14.25" hidden="false" customHeight="true" outlineLevel="0" collapsed="false">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row>
    <row r="724" customFormat="false" ht="14.25" hidden="false" customHeight="true" outlineLevel="0" collapsed="false">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row>
    <row r="725" customFormat="false" ht="14.25" hidden="false" customHeight="true" outlineLevel="0" collapsed="false">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row>
    <row r="726" customFormat="false" ht="14.25" hidden="false" customHeight="true" outlineLevel="0" collapsed="false">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row>
    <row r="727" customFormat="false" ht="14.25" hidden="false" customHeight="true" outlineLevel="0" collapsed="false">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row>
    <row r="728" customFormat="false" ht="14.25" hidden="false" customHeight="true" outlineLevel="0" collapsed="false">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row>
    <row r="729" customFormat="false" ht="14.25" hidden="false" customHeight="true" outlineLevel="0" collapsed="false">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row>
    <row r="730" customFormat="false" ht="14.25" hidden="false" customHeight="true" outlineLevel="0" collapsed="false">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row>
    <row r="731" customFormat="false" ht="14.25" hidden="false" customHeight="true" outlineLevel="0" collapsed="false">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row>
    <row r="732" customFormat="false" ht="14.25" hidden="false" customHeight="true" outlineLevel="0" collapsed="false">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row>
    <row r="733" customFormat="false" ht="14.25" hidden="false" customHeight="true" outlineLevel="0" collapsed="false">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row>
    <row r="734" customFormat="false" ht="14.25" hidden="false" customHeight="true" outlineLevel="0" collapsed="false">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row>
    <row r="735" customFormat="false" ht="14.25" hidden="false" customHeight="true" outlineLevel="0" collapsed="false">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row>
    <row r="736" customFormat="false" ht="14.25" hidden="false" customHeight="true" outlineLevel="0" collapsed="false">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row>
    <row r="737" customFormat="false" ht="14.25" hidden="false" customHeight="true" outlineLevel="0" collapsed="false">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row>
    <row r="738" customFormat="false" ht="14.25" hidden="false" customHeight="true" outlineLevel="0" collapsed="false">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row>
    <row r="739" customFormat="false" ht="14.25" hidden="false" customHeight="true" outlineLevel="0" collapsed="false">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row>
    <row r="740" customFormat="false" ht="14.25" hidden="false" customHeight="true" outlineLevel="0" collapsed="false">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row>
    <row r="741" customFormat="false" ht="14.25" hidden="false" customHeight="true" outlineLevel="0" collapsed="false">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row>
    <row r="742" customFormat="false" ht="14.25" hidden="false" customHeight="true" outlineLevel="0" collapsed="false">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row>
    <row r="743" customFormat="false" ht="14.25" hidden="false" customHeight="true" outlineLevel="0" collapsed="false">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row>
    <row r="744" customFormat="false" ht="14.25" hidden="false" customHeight="true" outlineLevel="0" collapsed="false">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row>
    <row r="745" customFormat="false" ht="14.25" hidden="false" customHeight="true" outlineLevel="0" collapsed="false">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row>
    <row r="746" customFormat="false" ht="14.25" hidden="false" customHeight="true" outlineLevel="0" collapsed="false">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row>
    <row r="747" customFormat="false" ht="14.25" hidden="false" customHeight="true" outlineLevel="0" collapsed="false">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row>
    <row r="748" customFormat="false" ht="14.25" hidden="false" customHeight="true" outlineLevel="0" collapsed="false">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row>
    <row r="749" customFormat="false" ht="14.25" hidden="false" customHeight="true" outlineLevel="0" collapsed="false">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row>
    <row r="750" customFormat="false" ht="14.25" hidden="false" customHeight="true" outlineLevel="0" collapsed="false">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row>
    <row r="751" customFormat="false" ht="14.25" hidden="false" customHeight="true" outlineLevel="0" collapsed="false">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row>
    <row r="752" customFormat="false" ht="14.25" hidden="false" customHeight="true" outlineLevel="0" collapsed="false">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row>
    <row r="753" customFormat="false" ht="14.25" hidden="false" customHeight="true" outlineLevel="0" collapsed="false">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row>
    <row r="754" customFormat="false" ht="14.25" hidden="false" customHeight="true" outlineLevel="0" collapsed="false">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row>
    <row r="755" customFormat="false" ht="14.25" hidden="false" customHeight="true" outlineLevel="0" collapsed="false">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row>
    <row r="756" customFormat="false" ht="14.25" hidden="false" customHeight="true" outlineLevel="0" collapsed="false">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row>
    <row r="757" customFormat="false" ht="14.25" hidden="false" customHeight="true" outlineLevel="0" collapsed="false">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row>
    <row r="758" customFormat="false" ht="14.25" hidden="false" customHeight="true" outlineLevel="0" collapsed="false">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row>
    <row r="759" customFormat="false" ht="14.25" hidden="false" customHeight="true" outlineLevel="0" collapsed="false">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row>
    <row r="760" customFormat="false" ht="14.25" hidden="false" customHeight="true" outlineLevel="0" collapsed="false">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row>
    <row r="761" customFormat="false" ht="14.25" hidden="false" customHeight="true" outlineLevel="0" collapsed="false">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row>
    <row r="762" customFormat="false" ht="14.25" hidden="false" customHeight="true" outlineLevel="0" collapsed="false">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row>
    <row r="763" customFormat="false" ht="14.25" hidden="false" customHeight="true" outlineLevel="0" collapsed="false">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row>
    <row r="764" customFormat="false" ht="14.25" hidden="false" customHeight="true" outlineLevel="0" collapsed="false">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row>
    <row r="765" customFormat="false" ht="14.25" hidden="false" customHeight="true" outlineLevel="0" collapsed="false">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row>
    <row r="766" customFormat="false" ht="14.25" hidden="false" customHeight="true" outlineLevel="0" collapsed="false">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row>
    <row r="767" customFormat="false" ht="14.25" hidden="false" customHeight="true" outlineLevel="0" collapsed="false">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row>
    <row r="768" customFormat="false" ht="14.25" hidden="false" customHeight="true" outlineLevel="0" collapsed="false">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row>
    <row r="769" customFormat="false" ht="14.25" hidden="false" customHeight="true" outlineLevel="0" collapsed="false">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row>
    <row r="770" customFormat="false" ht="14.25" hidden="false" customHeight="true" outlineLevel="0" collapsed="false">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row>
    <row r="771" customFormat="false" ht="14.25" hidden="false" customHeight="true" outlineLevel="0" collapsed="false">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row>
    <row r="772" customFormat="false" ht="14.25" hidden="false" customHeight="true" outlineLevel="0" collapsed="false">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row>
    <row r="773" customFormat="false" ht="14.25" hidden="false" customHeight="true" outlineLevel="0" collapsed="false">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row>
    <row r="774" customFormat="false" ht="14.25" hidden="false" customHeight="true" outlineLevel="0" collapsed="false">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row>
    <row r="775" customFormat="false" ht="14.25" hidden="false" customHeight="true" outlineLevel="0" collapsed="false">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row>
    <row r="776" customFormat="false" ht="14.25" hidden="false" customHeight="true" outlineLevel="0" collapsed="false">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row>
    <row r="777" customFormat="false" ht="14.25" hidden="false" customHeight="true" outlineLevel="0" collapsed="false">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row>
    <row r="778" customFormat="false" ht="14.25" hidden="false" customHeight="true" outlineLevel="0" collapsed="false">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row>
    <row r="779" customFormat="false" ht="14.25" hidden="false" customHeight="true" outlineLevel="0" collapsed="false">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row>
    <row r="780" customFormat="false" ht="14.25" hidden="false" customHeight="true" outlineLevel="0" collapsed="false">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row>
    <row r="781" customFormat="false" ht="14.25" hidden="false" customHeight="true" outlineLevel="0" collapsed="false">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row>
    <row r="782" customFormat="false" ht="14.25" hidden="false" customHeight="true" outlineLevel="0" collapsed="false">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row>
    <row r="783" customFormat="false" ht="14.25" hidden="false" customHeight="true" outlineLevel="0" collapsed="false">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row>
    <row r="784" customFormat="false" ht="14.25" hidden="false" customHeight="true" outlineLevel="0" collapsed="false">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row>
    <row r="785" customFormat="false" ht="14.25" hidden="false" customHeight="true" outlineLevel="0" collapsed="false">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row>
    <row r="786" customFormat="false" ht="14.25" hidden="false" customHeight="true" outlineLevel="0" collapsed="false">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row>
    <row r="787" customFormat="false" ht="14.25" hidden="false" customHeight="true" outlineLevel="0" collapsed="false">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row>
    <row r="788" customFormat="false" ht="14.25" hidden="false" customHeight="true" outlineLevel="0" collapsed="false">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row>
    <row r="789" customFormat="false" ht="14.25" hidden="false" customHeight="true" outlineLevel="0" collapsed="false">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row>
    <row r="790" customFormat="false" ht="14.25" hidden="false" customHeight="true" outlineLevel="0" collapsed="false">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row>
    <row r="791" customFormat="false" ht="14.25" hidden="false" customHeight="true" outlineLevel="0" collapsed="false">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row>
    <row r="792" customFormat="false" ht="14.25" hidden="false" customHeight="true" outlineLevel="0" collapsed="false">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row>
    <row r="793" customFormat="false" ht="14.25" hidden="false" customHeight="true" outlineLevel="0" collapsed="false">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row>
    <row r="794" customFormat="false" ht="14.25" hidden="false" customHeight="true" outlineLevel="0" collapsed="false">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row>
    <row r="795" customFormat="false" ht="14.25" hidden="false" customHeight="true" outlineLevel="0" collapsed="false">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row>
    <row r="796" customFormat="false" ht="14.25" hidden="false" customHeight="true" outlineLevel="0" collapsed="false">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row>
    <row r="797" customFormat="false" ht="14.25" hidden="false" customHeight="true" outlineLevel="0" collapsed="false">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row>
    <row r="798" customFormat="false" ht="14.25" hidden="false" customHeight="true" outlineLevel="0" collapsed="false">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row>
    <row r="799" customFormat="false" ht="14.25" hidden="false" customHeight="true" outlineLevel="0" collapsed="false">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row>
    <row r="800" customFormat="false" ht="14.25" hidden="false" customHeight="true" outlineLevel="0" collapsed="false">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row>
    <row r="801" customFormat="false" ht="14.25" hidden="false" customHeight="true" outlineLevel="0" collapsed="false">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row>
    <row r="802" customFormat="false" ht="14.25" hidden="false" customHeight="true" outlineLevel="0" collapsed="false">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row>
    <row r="803" customFormat="false" ht="14.25" hidden="false" customHeight="true" outlineLevel="0" collapsed="false">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row>
    <row r="804" customFormat="false" ht="14.25" hidden="false" customHeight="true" outlineLevel="0" collapsed="false">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row>
    <row r="805" customFormat="false" ht="14.25" hidden="false" customHeight="true" outlineLevel="0" collapsed="false">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row>
    <row r="806" customFormat="false" ht="14.25" hidden="false" customHeight="true" outlineLevel="0" collapsed="false">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row>
    <row r="807" customFormat="false" ht="14.25" hidden="false" customHeight="true" outlineLevel="0" collapsed="false">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row>
    <row r="808" customFormat="false" ht="14.25" hidden="false" customHeight="true" outlineLevel="0" collapsed="false">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row>
    <row r="809" customFormat="false" ht="14.25" hidden="false" customHeight="true" outlineLevel="0" collapsed="false">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row>
    <row r="810" customFormat="false" ht="14.25" hidden="false" customHeight="true" outlineLevel="0" collapsed="false">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row>
    <row r="811" customFormat="false" ht="14.25" hidden="false" customHeight="true" outlineLevel="0" collapsed="false">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row>
    <row r="812" customFormat="false" ht="14.25" hidden="false" customHeight="true" outlineLevel="0" collapsed="false">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row>
    <row r="813" customFormat="false" ht="14.25" hidden="false" customHeight="true" outlineLevel="0" collapsed="false">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row>
    <row r="814" customFormat="false" ht="14.25" hidden="false" customHeight="true" outlineLevel="0" collapsed="false">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row>
    <row r="815" customFormat="false" ht="14.25" hidden="false" customHeight="true" outlineLevel="0" collapsed="false">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row>
    <row r="816" customFormat="false" ht="14.25" hidden="false" customHeight="true" outlineLevel="0" collapsed="false">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row>
    <row r="817" customFormat="false" ht="14.25" hidden="false" customHeight="true" outlineLevel="0" collapsed="false">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row>
    <row r="818" customFormat="false" ht="14.25" hidden="false" customHeight="true" outlineLevel="0" collapsed="false">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row>
    <row r="819" customFormat="false" ht="14.25" hidden="false" customHeight="true" outlineLevel="0" collapsed="false">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row>
    <row r="820" customFormat="false" ht="14.25" hidden="false" customHeight="true" outlineLevel="0" collapsed="false">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row>
    <row r="821" customFormat="false" ht="14.25" hidden="false" customHeight="true" outlineLevel="0" collapsed="false">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row>
    <row r="822" customFormat="false" ht="14.25" hidden="false" customHeight="true" outlineLevel="0" collapsed="false">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row>
    <row r="823" customFormat="false" ht="14.25" hidden="false" customHeight="true" outlineLevel="0" collapsed="false">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row>
    <row r="824" customFormat="false" ht="14.25" hidden="false" customHeight="true" outlineLevel="0" collapsed="false">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row>
    <row r="825" customFormat="false" ht="14.25" hidden="false" customHeight="true" outlineLevel="0" collapsed="false">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row>
    <row r="826" customFormat="false" ht="14.25" hidden="false" customHeight="true" outlineLevel="0" collapsed="false">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row>
    <row r="827" customFormat="false" ht="14.25" hidden="false" customHeight="true" outlineLevel="0" collapsed="false">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row>
    <row r="828" customFormat="false" ht="14.25" hidden="false" customHeight="true" outlineLevel="0" collapsed="false">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row>
    <row r="829" customFormat="false" ht="14.25" hidden="false" customHeight="true" outlineLevel="0" collapsed="false">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row>
    <row r="830" customFormat="false" ht="14.25" hidden="false" customHeight="true" outlineLevel="0" collapsed="false">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row>
    <row r="831" customFormat="false" ht="14.25" hidden="false" customHeight="true" outlineLevel="0" collapsed="false">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row>
    <row r="832" customFormat="false" ht="14.25" hidden="false" customHeight="true" outlineLevel="0" collapsed="false">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row>
    <row r="833" customFormat="false" ht="14.25" hidden="false" customHeight="true" outlineLevel="0" collapsed="false">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row>
    <row r="834" customFormat="false" ht="14.25" hidden="false" customHeight="true" outlineLevel="0" collapsed="false">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row>
    <row r="835" customFormat="false" ht="14.25" hidden="false" customHeight="true" outlineLevel="0" collapsed="false">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row>
    <row r="836" customFormat="false" ht="14.25" hidden="false" customHeight="true" outlineLevel="0" collapsed="false">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row>
    <row r="837" customFormat="false" ht="14.25" hidden="false" customHeight="true" outlineLevel="0" collapsed="false">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row>
    <row r="838" customFormat="false" ht="14.25" hidden="false" customHeight="true" outlineLevel="0" collapsed="false">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row>
    <row r="839" customFormat="false" ht="14.25" hidden="false" customHeight="true" outlineLevel="0" collapsed="false">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c r="AN839" s="56"/>
      <c r="AO839" s="56"/>
      <c r="AP839" s="56"/>
    </row>
    <row r="840" customFormat="false" ht="14.25" hidden="false" customHeight="true" outlineLevel="0" collapsed="false">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c r="AN840" s="56"/>
      <c r="AO840" s="56"/>
      <c r="AP840" s="56"/>
    </row>
    <row r="841" customFormat="false" ht="14.25" hidden="false" customHeight="true" outlineLevel="0" collapsed="false">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c r="AN841" s="56"/>
      <c r="AO841" s="56"/>
      <c r="AP841" s="56"/>
    </row>
    <row r="842" customFormat="false" ht="14.25" hidden="false" customHeight="true" outlineLevel="0" collapsed="false">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c r="AN842" s="56"/>
      <c r="AO842" s="56"/>
      <c r="AP842" s="56"/>
    </row>
    <row r="843" customFormat="false" ht="14.25" hidden="false" customHeight="true" outlineLevel="0" collapsed="false">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c r="AN843" s="56"/>
      <c r="AO843" s="56"/>
      <c r="AP843" s="56"/>
    </row>
    <row r="844" customFormat="false" ht="14.25" hidden="false" customHeight="true" outlineLevel="0" collapsed="false">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c r="AN844" s="56"/>
      <c r="AO844" s="56"/>
      <c r="AP844" s="56"/>
    </row>
    <row r="845" customFormat="false" ht="14.25" hidden="false" customHeight="true" outlineLevel="0" collapsed="false">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c r="AN845" s="56"/>
      <c r="AO845" s="56"/>
      <c r="AP845" s="56"/>
    </row>
    <row r="846" customFormat="false" ht="14.25" hidden="false" customHeight="true" outlineLevel="0" collapsed="false">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c r="AN846" s="56"/>
      <c r="AO846" s="56"/>
      <c r="AP846" s="56"/>
    </row>
    <row r="847" customFormat="false" ht="14.25" hidden="false" customHeight="true" outlineLevel="0" collapsed="false">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c r="AN847" s="56"/>
      <c r="AO847" s="56"/>
      <c r="AP847" s="56"/>
    </row>
    <row r="848" customFormat="false" ht="14.25" hidden="false" customHeight="true" outlineLevel="0" collapsed="false">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c r="AN848" s="56"/>
      <c r="AO848" s="56"/>
      <c r="AP848" s="56"/>
    </row>
    <row r="849" customFormat="false" ht="14.25" hidden="false" customHeight="true" outlineLevel="0" collapsed="false">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c r="AN849" s="56"/>
      <c r="AO849" s="56"/>
      <c r="AP849" s="56"/>
    </row>
    <row r="850" customFormat="false" ht="14.25" hidden="false" customHeight="true" outlineLevel="0" collapsed="false">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c r="AN850" s="56"/>
      <c r="AO850" s="56"/>
      <c r="AP850" s="56"/>
    </row>
    <row r="851" customFormat="false" ht="14.25" hidden="false" customHeight="true" outlineLevel="0" collapsed="false">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row>
    <row r="852" customFormat="false" ht="14.25" hidden="false" customHeight="true" outlineLevel="0" collapsed="false">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c r="AN852" s="56"/>
      <c r="AO852" s="56"/>
      <c r="AP852" s="56"/>
    </row>
    <row r="853" customFormat="false" ht="14.25" hidden="false" customHeight="true" outlineLevel="0" collapsed="false">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c r="AN853" s="56"/>
      <c r="AO853" s="56"/>
      <c r="AP853" s="56"/>
    </row>
    <row r="854" customFormat="false" ht="14.25" hidden="false" customHeight="true" outlineLevel="0" collapsed="false">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c r="AN854" s="56"/>
      <c r="AO854" s="56"/>
      <c r="AP854" s="56"/>
    </row>
    <row r="855" customFormat="false" ht="14.25" hidden="false" customHeight="true" outlineLevel="0" collapsed="false">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c r="AN855" s="56"/>
      <c r="AO855" s="56"/>
      <c r="AP855" s="56"/>
    </row>
    <row r="856" customFormat="false" ht="14.25" hidden="false" customHeight="true" outlineLevel="0" collapsed="false">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c r="AN856" s="56"/>
      <c r="AO856" s="56"/>
      <c r="AP856" s="56"/>
    </row>
    <row r="857" customFormat="false" ht="14.25" hidden="false" customHeight="true" outlineLevel="0" collapsed="false">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row>
    <row r="858" customFormat="false" ht="14.25" hidden="false" customHeight="true" outlineLevel="0" collapsed="false">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c r="AN858" s="56"/>
      <c r="AO858" s="56"/>
      <c r="AP858" s="56"/>
    </row>
    <row r="859" customFormat="false" ht="14.25" hidden="false" customHeight="true" outlineLevel="0" collapsed="false">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c r="AN859" s="56"/>
      <c r="AO859" s="56"/>
      <c r="AP859" s="56"/>
    </row>
    <row r="860" customFormat="false" ht="14.25" hidden="false" customHeight="true" outlineLevel="0" collapsed="false">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c r="AN860" s="56"/>
      <c r="AO860" s="56"/>
      <c r="AP860" s="56"/>
    </row>
    <row r="861" customFormat="false" ht="14.25" hidden="false" customHeight="true" outlineLevel="0" collapsed="false">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c r="AN861" s="56"/>
      <c r="AO861" s="56"/>
      <c r="AP861" s="56"/>
    </row>
    <row r="862" customFormat="false" ht="14.25" hidden="false" customHeight="true" outlineLevel="0" collapsed="false">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c r="AN862" s="56"/>
      <c r="AO862" s="56"/>
      <c r="AP862" s="56"/>
    </row>
    <row r="863" customFormat="false" ht="14.25" hidden="false" customHeight="true" outlineLevel="0" collapsed="false">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c r="AN863" s="56"/>
      <c r="AO863" s="56"/>
      <c r="AP863" s="56"/>
    </row>
    <row r="864" customFormat="false" ht="14.25" hidden="false" customHeight="true" outlineLevel="0" collapsed="false">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c r="AN864" s="56"/>
      <c r="AO864" s="56"/>
      <c r="AP864" s="56"/>
    </row>
    <row r="865" customFormat="false" ht="14.25" hidden="false" customHeight="true" outlineLevel="0" collapsed="false">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c r="AN865" s="56"/>
      <c r="AO865" s="56"/>
      <c r="AP865" s="56"/>
    </row>
    <row r="866" customFormat="false" ht="14.25" hidden="false" customHeight="true" outlineLevel="0" collapsed="false">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c r="AN866" s="56"/>
      <c r="AO866" s="56"/>
      <c r="AP866" s="56"/>
    </row>
    <row r="867" customFormat="false" ht="14.25" hidden="false" customHeight="true" outlineLevel="0" collapsed="false">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c r="AN867" s="56"/>
      <c r="AO867" s="56"/>
      <c r="AP867" s="56"/>
    </row>
    <row r="868" customFormat="false" ht="14.25" hidden="false" customHeight="true" outlineLevel="0" collapsed="false">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c r="AN868" s="56"/>
      <c r="AO868" s="56"/>
      <c r="AP868" s="56"/>
    </row>
    <row r="869" customFormat="false" ht="14.25" hidden="false" customHeight="true" outlineLevel="0" collapsed="false">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c r="AN869" s="56"/>
      <c r="AO869" s="56"/>
      <c r="AP869" s="56"/>
    </row>
    <row r="870" customFormat="false" ht="14.25" hidden="false" customHeight="true" outlineLevel="0" collapsed="false">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c r="AN870" s="56"/>
      <c r="AO870" s="56"/>
      <c r="AP870" s="56"/>
    </row>
    <row r="871" customFormat="false" ht="14.25" hidden="false" customHeight="true" outlineLevel="0" collapsed="false">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c r="AN871" s="56"/>
      <c r="AO871" s="56"/>
      <c r="AP871" s="56"/>
    </row>
    <row r="872" customFormat="false" ht="14.25" hidden="false" customHeight="true" outlineLevel="0" collapsed="false">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c r="AN872" s="56"/>
      <c r="AO872" s="56"/>
      <c r="AP872" s="56"/>
    </row>
    <row r="873" customFormat="false" ht="14.25" hidden="false" customHeight="true" outlineLevel="0" collapsed="false">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c r="AN873" s="56"/>
      <c r="AO873" s="56"/>
      <c r="AP873" s="56"/>
    </row>
    <row r="874" customFormat="false" ht="14.25" hidden="false" customHeight="true" outlineLevel="0" collapsed="false">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c r="AN874" s="56"/>
      <c r="AO874" s="56"/>
      <c r="AP874" s="56"/>
    </row>
    <row r="875" customFormat="false" ht="14.25" hidden="false" customHeight="true" outlineLevel="0" collapsed="false">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c r="AN875" s="56"/>
      <c r="AO875" s="56"/>
      <c r="AP875" s="56"/>
    </row>
    <row r="876" customFormat="false" ht="14.25" hidden="false" customHeight="true" outlineLevel="0" collapsed="false">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c r="AN876" s="56"/>
      <c r="AO876" s="56"/>
      <c r="AP876" s="56"/>
    </row>
    <row r="877" customFormat="false" ht="14.25" hidden="false" customHeight="true" outlineLevel="0" collapsed="false">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c r="AN877" s="56"/>
      <c r="AO877" s="56"/>
      <c r="AP877" s="56"/>
    </row>
    <row r="878" customFormat="false" ht="14.25" hidden="false" customHeight="true" outlineLevel="0" collapsed="false">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c r="AN878" s="56"/>
      <c r="AO878" s="56"/>
      <c r="AP878" s="56"/>
    </row>
    <row r="879" customFormat="false" ht="14.25" hidden="false" customHeight="true" outlineLevel="0" collapsed="false">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c r="AN879" s="56"/>
      <c r="AO879" s="56"/>
      <c r="AP879" s="56"/>
    </row>
    <row r="880" customFormat="false" ht="14.25" hidden="false" customHeight="true" outlineLevel="0" collapsed="false">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c r="AN880" s="56"/>
      <c r="AO880" s="56"/>
      <c r="AP880" s="56"/>
    </row>
    <row r="881" customFormat="false" ht="14.25" hidden="false" customHeight="true" outlineLevel="0" collapsed="false">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c r="AN881" s="56"/>
      <c r="AO881" s="56"/>
      <c r="AP881" s="56"/>
    </row>
    <row r="882" customFormat="false" ht="14.25" hidden="false" customHeight="true" outlineLevel="0" collapsed="false">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c r="AN882" s="56"/>
      <c r="AO882" s="56"/>
      <c r="AP882" s="56"/>
    </row>
    <row r="883" customFormat="false" ht="14.25" hidden="false" customHeight="true" outlineLevel="0" collapsed="false">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c r="AN883" s="56"/>
      <c r="AO883" s="56"/>
      <c r="AP883" s="56"/>
    </row>
    <row r="884" customFormat="false" ht="14.25" hidden="false" customHeight="true" outlineLevel="0" collapsed="false">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c r="AN884" s="56"/>
      <c r="AO884" s="56"/>
      <c r="AP884" s="56"/>
    </row>
    <row r="885" customFormat="false" ht="14.25" hidden="false" customHeight="true" outlineLevel="0" collapsed="false">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c r="AN885" s="56"/>
      <c r="AO885" s="56"/>
      <c r="AP885" s="56"/>
    </row>
    <row r="886" customFormat="false" ht="14.25" hidden="false" customHeight="true" outlineLevel="0" collapsed="false">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c r="AN886" s="56"/>
      <c r="AO886" s="56"/>
      <c r="AP886" s="56"/>
    </row>
    <row r="887" customFormat="false" ht="14.25" hidden="false" customHeight="true" outlineLevel="0" collapsed="false">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c r="AN887" s="56"/>
      <c r="AO887" s="56"/>
      <c r="AP887" s="56"/>
    </row>
    <row r="888" customFormat="false" ht="14.25" hidden="false" customHeight="true" outlineLevel="0" collapsed="false">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c r="AG888" s="56"/>
      <c r="AH888" s="56"/>
      <c r="AI888" s="56"/>
      <c r="AJ888" s="56"/>
      <c r="AK888" s="56"/>
      <c r="AL888" s="56"/>
      <c r="AM888" s="56"/>
      <c r="AN888" s="56"/>
      <c r="AO888" s="56"/>
      <c r="AP888" s="56"/>
    </row>
    <row r="889" customFormat="false" ht="14.25" hidden="false" customHeight="true" outlineLevel="0" collapsed="false">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c r="AG889" s="56"/>
      <c r="AH889" s="56"/>
      <c r="AI889" s="56"/>
      <c r="AJ889" s="56"/>
      <c r="AK889" s="56"/>
      <c r="AL889" s="56"/>
      <c r="AM889" s="56"/>
      <c r="AN889" s="56"/>
      <c r="AO889" s="56"/>
      <c r="AP889" s="56"/>
    </row>
    <row r="890" customFormat="false" ht="14.25" hidden="false" customHeight="true" outlineLevel="0" collapsed="false">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c r="AG890" s="56"/>
      <c r="AH890" s="56"/>
      <c r="AI890" s="56"/>
      <c r="AJ890" s="56"/>
      <c r="AK890" s="56"/>
      <c r="AL890" s="56"/>
      <c r="AM890" s="56"/>
      <c r="AN890" s="56"/>
      <c r="AO890" s="56"/>
      <c r="AP890" s="56"/>
    </row>
    <row r="891" customFormat="false" ht="14.25" hidden="false" customHeight="true" outlineLevel="0" collapsed="false">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c r="AG891" s="56"/>
      <c r="AH891" s="56"/>
      <c r="AI891" s="56"/>
      <c r="AJ891" s="56"/>
      <c r="AK891" s="56"/>
      <c r="AL891" s="56"/>
      <c r="AM891" s="56"/>
      <c r="AN891" s="56"/>
      <c r="AO891" s="56"/>
      <c r="AP891" s="56"/>
    </row>
    <row r="892" customFormat="false" ht="14.25" hidden="false" customHeight="true" outlineLevel="0" collapsed="false">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c r="AG892" s="56"/>
      <c r="AH892" s="56"/>
      <c r="AI892" s="56"/>
      <c r="AJ892" s="56"/>
      <c r="AK892" s="56"/>
      <c r="AL892" s="56"/>
      <c r="AM892" s="56"/>
      <c r="AN892" s="56"/>
      <c r="AO892" s="56"/>
      <c r="AP892" s="56"/>
    </row>
    <row r="893" customFormat="false" ht="14.25" hidden="false" customHeight="true" outlineLevel="0" collapsed="false">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c r="AG893" s="56"/>
      <c r="AH893" s="56"/>
      <c r="AI893" s="56"/>
      <c r="AJ893" s="56"/>
      <c r="AK893" s="56"/>
      <c r="AL893" s="56"/>
      <c r="AM893" s="56"/>
      <c r="AN893" s="56"/>
      <c r="AO893" s="56"/>
      <c r="AP893" s="56"/>
    </row>
    <row r="894" customFormat="false" ht="14.25" hidden="false" customHeight="true" outlineLevel="0" collapsed="false">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c r="AG894" s="56"/>
      <c r="AH894" s="56"/>
      <c r="AI894" s="56"/>
      <c r="AJ894" s="56"/>
      <c r="AK894" s="56"/>
      <c r="AL894" s="56"/>
      <c r="AM894" s="56"/>
      <c r="AN894" s="56"/>
      <c r="AO894" s="56"/>
      <c r="AP894" s="56"/>
    </row>
    <row r="895" customFormat="false" ht="14.25" hidden="false" customHeight="true" outlineLevel="0" collapsed="false">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c r="AG895" s="56"/>
      <c r="AH895" s="56"/>
      <c r="AI895" s="56"/>
      <c r="AJ895" s="56"/>
      <c r="AK895" s="56"/>
      <c r="AL895" s="56"/>
      <c r="AM895" s="56"/>
      <c r="AN895" s="56"/>
      <c r="AO895" s="56"/>
      <c r="AP895" s="56"/>
    </row>
    <row r="896" customFormat="false" ht="14.25" hidden="false" customHeight="true" outlineLevel="0" collapsed="false">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c r="AG896" s="56"/>
      <c r="AH896" s="56"/>
      <c r="AI896" s="56"/>
      <c r="AJ896" s="56"/>
      <c r="AK896" s="56"/>
      <c r="AL896" s="56"/>
      <c r="AM896" s="56"/>
      <c r="AN896" s="56"/>
      <c r="AO896" s="56"/>
      <c r="AP896" s="56"/>
    </row>
    <row r="897" customFormat="false" ht="14.25" hidden="false" customHeight="true" outlineLevel="0" collapsed="false">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c r="AG897" s="56"/>
      <c r="AH897" s="56"/>
      <c r="AI897" s="56"/>
      <c r="AJ897" s="56"/>
      <c r="AK897" s="56"/>
      <c r="AL897" s="56"/>
      <c r="AM897" s="56"/>
      <c r="AN897" s="56"/>
      <c r="AO897" s="56"/>
      <c r="AP897" s="56"/>
    </row>
    <row r="898" customFormat="false" ht="14.25" hidden="false" customHeight="true" outlineLevel="0" collapsed="false">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c r="AG898" s="56"/>
      <c r="AH898" s="56"/>
      <c r="AI898" s="56"/>
      <c r="AJ898" s="56"/>
      <c r="AK898" s="56"/>
      <c r="AL898" s="56"/>
      <c r="AM898" s="56"/>
      <c r="AN898" s="56"/>
      <c r="AO898" s="56"/>
      <c r="AP898" s="56"/>
    </row>
    <row r="899" customFormat="false" ht="14.25" hidden="false" customHeight="true" outlineLevel="0" collapsed="false">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c r="AG899" s="56"/>
      <c r="AH899" s="56"/>
      <c r="AI899" s="56"/>
      <c r="AJ899" s="56"/>
      <c r="AK899" s="56"/>
      <c r="AL899" s="56"/>
      <c r="AM899" s="56"/>
      <c r="AN899" s="56"/>
      <c r="AO899" s="56"/>
      <c r="AP899" s="56"/>
    </row>
    <row r="900" customFormat="false" ht="14.25" hidden="false" customHeight="true" outlineLevel="0" collapsed="false">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c r="AM900" s="56"/>
      <c r="AN900" s="56"/>
      <c r="AO900" s="56"/>
      <c r="AP900" s="56"/>
    </row>
    <row r="901" customFormat="false" ht="14.25" hidden="false" customHeight="true" outlineLevel="0" collapsed="false">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c r="AG901" s="56"/>
      <c r="AH901" s="56"/>
      <c r="AI901" s="56"/>
      <c r="AJ901" s="56"/>
      <c r="AK901" s="56"/>
      <c r="AL901" s="56"/>
      <c r="AM901" s="56"/>
      <c r="AN901" s="56"/>
      <c r="AO901" s="56"/>
      <c r="AP901" s="56"/>
    </row>
    <row r="902" customFormat="false" ht="14.25" hidden="false" customHeight="true" outlineLevel="0" collapsed="false">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c r="AG902" s="56"/>
      <c r="AH902" s="56"/>
      <c r="AI902" s="56"/>
      <c r="AJ902" s="56"/>
      <c r="AK902" s="56"/>
      <c r="AL902" s="56"/>
      <c r="AM902" s="56"/>
      <c r="AN902" s="56"/>
      <c r="AO902" s="56"/>
      <c r="AP902" s="56"/>
    </row>
    <row r="903" customFormat="false" ht="14.25" hidden="false" customHeight="true" outlineLevel="0" collapsed="false">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c r="AG903" s="56"/>
      <c r="AH903" s="56"/>
      <c r="AI903" s="56"/>
      <c r="AJ903" s="56"/>
      <c r="AK903" s="56"/>
      <c r="AL903" s="56"/>
      <c r="AM903" s="56"/>
      <c r="AN903" s="56"/>
      <c r="AO903" s="56"/>
      <c r="AP903" s="56"/>
    </row>
    <row r="904" customFormat="false" ht="14.25" hidden="false" customHeight="true" outlineLevel="0" collapsed="false">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c r="AG904" s="56"/>
      <c r="AH904" s="56"/>
      <c r="AI904" s="56"/>
      <c r="AJ904" s="56"/>
      <c r="AK904" s="56"/>
      <c r="AL904" s="56"/>
      <c r="AM904" s="56"/>
      <c r="AN904" s="56"/>
      <c r="AO904" s="56"/>
      <c r="AP904" s="56"/>
    </row>
    <row r="905" customFormat="false" ht="14.25" hidden="false" customHeight="true" outlineLevel="0" collapsed="false">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row>
    <row r="906" customFormat="false" ht="14.25" hidden="false" customHeight="true" outlineLevel="0" collapsed="false">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row>
    <row r="907" customFormat="false" ht="14.25" hidden="false" customHeight="true" outlineLevel="0" collapsed="false">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c r="AG907" s="56"/>
      <c r="AH907" s="56"/>
      <c r="AI907" s="56"/>
      <c r="AJ907" s="56"/>
      <c r="AK907" s="56"/>
      <c r="AL907" s="56"/>
      <c r="AM907" s="56"/>
      <c r="AN907" s="56"/>
      <c r="AO907" s="56"/>
      <c r="AP907" s="56"/>
    </row>
    <row r="908" customFormat="false" ht="14.25" hidden="false" customHeight="true" outlineLevel="0" collapsed="false">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c r="AG908" s="56"/>
      <c r="AH908" s="56"/>
      <c r="AI908" s="56"/>
      <c r="AJ908" s="56"/>
      <c r="AK908" s="56"/>
      <c r="AL908" s="56"/>
      <c r="AM908" s="56"/>
      <c r="AN908" s="56"/>
      <c r="AO908" s="56"/>
      <c r="AP908" s="56"/>
    </row>
    <row r="909" customFormat="false" ht="14.25" hidden="false" customHeight="true" outlineLevel="0" collapsed="false">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c r="AG909" s="56"/>
      <c r="AH909" s="56"/>
      <c r="AI909" s="56"/>
      <c r="AJ909" s="56"/>
      <c r="AK909" s="56"/>
      <c r="AL909" s="56"/>
      <c r="AM909" s="56"/>
      <c r="AN909" s="56"/>
      <c r="AO909" s="56"/>
      <c r="AP909" s="56"/>
    </row>
    <row r="910" customFormat="false" ht="14.25" hidden="false" customHeight="true" outlineLevel="0" collapsed="false">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c r="AG910" s="56"/>
      <c r="AH910" s="56"/>
      <c r="AI910" s="56"/>
      <c r="AJ910" s="56"/>
      <c r="AK910" s="56"/>
      <c r="AL910" s="56"/>
      <c r="AM910" s="56"/>
      <c r="AN910" s="56"/>
      <c r="AO910" s="56"/>
      <c r="AP910" s="56"/>
    </row>
    <row r="911" customFormat="false" ht="14.25" hidden="false" customHeight="true" outlineLevel="0" collapsed="false">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c r="AG911" s="56"/>
      <c r="AH911" s="56"/>
      <c r="AI911" s="56"/>
      <c r="AJ911" s="56"/>
      <c r="AK911" s="56"/>
      <c r="AL911" s="56"/>
      <c r="AM911" s="56"/>
      <c r="AN911" s="56"/>
      <c r="AO911" s="56"/>
      <c r="AP911" s="56"/>
    </row>
    <row r="912" customFormat="false" ht="14.25" hidden="false" customHeight="true" outlineLevel="0" collapsed="false">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c r="AG912" s="56"/>
      <c r="AH912" s="56"/>
      <c r="AI912" s="56"/>
      <c r="AJ912" s="56"/>
      <c r="AK912" s="56"/>
      <c r="AL912" s="56"/>
      <c r="AM912" s="56"/>
      <c r="AN912" s="56"/>
      <c r="AO912" s="56"/>
      <c r="AP912" s="56"/>
    </row>
    <row r="913" customFormat="false" ht="14.25" hidden="false" customHeight="true" outlineLevel="0" collapsed="false">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c r="AG913" s="56"/>
      <c r="AH913" s="56"/>
      <c r="AI913" s="56"/>
      <c r="AJ913" s="56"/>
      <c r="AK913" s="56"/>
      <c r="AL913" s="56"/>
      <c r="AM913" s="56"/>
      <c r="AN913" s="56"/>
      <c r="AO913" s="56"/>
      <c r="AP913" s="56"/>
    </row>
    <row r="914" customFormat="false" ht="14.25" hidden="false" customHeight="true" outlineLevel="0" collapsed="false">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56"/>
      <c r="AM914" s="56"/>
      <c r="AN914" s="56"/>
      <c r="AO914" s="56"/>
      <c r="AP914" s="56"/>
    </row>
    <row r="915" customFormat="false" ht="14.25" hidden="false" customHeight="true" outlineLevel="0" collapsed="false">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c r="AG915" s="56"/>
      <c r="AH915" s="56"/>
      <c r="AI915" s="56"/>
      <c r="AJ915" s="56"/>
      <c r="AK915" s="56"/>
      <c r="AL915" s="56"/>
      <c r="AM915" s="56"/>
      <c r="AN915" s="56"/>
      <c r="AO915" s="56"/>
      <c r="AP915" s="56"/>
    </row>
    <row r="916" customFormat="false" ht="14.25" hidden="false" customHeight="true" outlineLevel="0" collapsed="false">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c r="AG916" s="56"/>
      <c r="AH916" s="56"/>
      <c r="AI916" s="56"/>
      <c r="AJ916" s="56"/>
      <c r="AK916" s="56"/>
      <c r="AL916" s="56"/>
      <c r="AM916" s="56"/>
      <c r="AN916" s="56"/>
      <c r="AO916" s="56"/>
      <c r="AP916" s="56"/>
    </row>
    <row r="917" customFormat="false" ht="14.25" hidden="false" customHeight="true" outlineLevel="0" collapsed="false">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c r="AG917" s="56"/>
      <c r="AH917" s="56"/>
      <c r="AI917" s="56"/>
      <c r="AJ917" s="56"/>
      <c r="AK917" s="56"/>
      <c r="AL917" s="56"/>
      <c r="AM917" s="56"/>
      <c r="AN917" s="56"/>
      <c r="AO917" s="56"/>
      <c r="AP917" s="56"/>
    </row>
    <row r="918" customFormat="false" ht="14.25" hidden="false" customHeight="true" outlineLevel="0" collapsed="false">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c r="AG918" s="56"/>
      <c r="AH918" s="56"/>
      <c r="AI918" s="56"/>
      <c r="AJ918" s="56"/>
      <c r="AK918" s="56"/>
      <c r="AL918" s="56"/>
      <c r="AM918" s="56"/>
      <c r="AN918" s="56"/>
      <c r="AO918" s="56"/>
      <c r="AP918" s="56"/>
    </row>
    <row r="919" customFormat="false" ht="14.25" hidden="false" customHeight="true" outlineLevel="0" collapsed="false">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c r="AG919" s="56"/>
      <c r="AH919" s="56"/>
      <c r="AI919" s="56"/>
      <c r="AJ919" s="56"/>
      <c r="AK919" s="56"/>
      <c r="AL919" s="56"/>
      <c r="AM919" s="56"/>
      <c r="AN919" s="56"/>
      <c r="AO919" s="56"/>
      <c r="AP919" s="56"/>
    </row>
    <row r="920" customFormat="false" ht="14.25" hidden="false" customHeight="true" outlineLevel="0" collapsed="false">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row>
    <row r="921" customFormat="false" ht="14.25" hidden="false" customHeight="true" outlineLevel="0" collapsed="false">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row>
    <row r="922" customFormat="false" ht="14.25" hidden="false" customHeight="true" outlineLevel="0" collapsed="false">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row>
    <row r="923" customFormat="false" ht="14.25" hidden="false" customHeight="true" outlineLevel="0" collapsed="false">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row>
    <row r="924" customFormat="false" ht="14.25" hidden="false" customHeight="true" outlineLevel="0" collapsed="false">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row>
    <row r="925" customFormat="false" ht="14.25" hidden="false" customHeight="true" outlineLevel="0" collapsed="false">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row>
    <row r="926" customFormat="false" ht="14.25" hidden="false" customHeight="true" outlineLevel="0" collapsed="false">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row>
    <row r="927" customFormat="false" ht="14.25" hidden="false" customHeight="true" outlineLevel="0" collapsed="false">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c r="AG927" s="56"/>
      <c r="AH927" s="56"/>
      <c r="AI927" s="56"/>
      <c r="AJ927" s="56"/>
      <c r="AK927" s="56"/>
      <c r="AL927" s="56"/>
      <c r="AM927" s="56"/>
      <c r="AN927" s="56"/>
      <c r="AO927" s="56"/>
      <c r="AP927" s="56"/>
    </row>
    <row r="928" customFormat="false" ht="14.25" hidden="false" customHeight="true" outlineLevel="0" collapsed="false">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row>
    <row r="929" customFormat="false" ht="14.25" hidden="false" customHeight="true" outlineLevel="0" collapsed="false">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row>
    <row r="930" customFormat="false" ht="14.25" hidden="false" customHeight="true" outlineLevel="0" collapsed="false">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row>
    <row r="931" customFormat="false" ht="14.25" hidden="false" customHeight="true" outlineLevel="0" collapsed="false">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row>
    <row r="932" customFormat="false" ht="14.25" hidden="false" customHeight="true" outlineLevel="0" collapsed="false">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row>
    <row r="933" customFormat="false" ht="14.25" hidden="false" customHeight="true" outlineLevel="0" collapsed="false">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row>
    <row r="934" customFormat="false" ht="14.25" hidden="false" customHeight="true" outlineLevel="0" collapsed="false">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row>
    <row r="935" customFormat="false" ht="14.25" hidden="false" customHeight="true" outlineLevel="0" collapsed="false">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c r="AG935" s="56"/>
      <c r="AH935" s="56"/>
      <c r="AI935" s="56"/>
      <c r="AJ935" s="56"/>
      <c r="AK935" s="56"/>
      <c r="AL935" s="56"/>
      <c r="AM935" s="56"/>
      <c r="AN935" s="56"/>
      <c r="AO935" s="56"/>
      <c r="AP935" s="56"/>
    </row>
    <row r="936" customFormat="false" ht="14.25" hidden="false" customHeight="true" outlineLevel="0" collapsed="false">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c r="AG936" s="56"/>
      <c r="AH936" s="56"/>
      <c r="AI936" s="56"/>
      <c r="AJ936" s="56"/>
      <c r="AK936" s="56"/>
      <c r="AL936" s="56"/>
      <c r="AM936" s="56"/>
      <c r="AN936" s="56"/>
      <c r="AO936" s="56"/>
      <c r="AP936" s="56"/>
    </row>
    <row r="937" customFormat="false" ht="14.25" hidden="false" customHeight="true" outlineLevel="0" collapsed="false">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c r="AG937" s="56"/>
      <c r="AH937" s="56"/>
      <c r="AI937" s="56"/>
      <c r="AJ937" s="56"/>
      <c r="AK937" s="56"/>
      <c r="AL937" s="56"/>
      <c r="AM937" s="56"/>
      <c r="AN937" s="56"/>
      <c r="AO937" s="56"/>
      <c r="AP937" s="56"/>
    </row>
    <row r="938" customFormat="false" ht="14.25" hidden="false" customHeight="true" outlineLevel="0" collapsed="false">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c r="AG938" s="56"/>
      <c r="AH938" s="56"/>
      <c r="AI938" s="56"/>
      <c r="AJ938" s="56"/>
      <c r="AK938" s="56"/>
      <c r="AL938" s="56"/>
      <c r="AM938" s="56"/>
      <c r="AN938" s="56"/>
      <c r="AO938" s="56"/>
      <c r="AP938" s="56"/>
    </row>
    <row r="939" customFormat="false" ht="14.25" hidden="false" customHeight="true" outlineLevel="0" collapsed="false">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c r="AG939" s="56"/>
      <c r="AH939" s="56"/>
      <c r="AI939" s="56"/>
      <c r="AJ939" s="56"/>
      <c r="AK939" s="56"/>
      <c r="AL939" s="56"/>
      <c r="AM939" s="56"/>
      <c r="AN939" s="56"/>
      <c r="AO939" s="56"/>
      <c r="AP939" s="56"/>
    </row>
    <row r="940" customFormat="false" ht="14.25" hidden="false" customHeight="true" outlineLevel="0" collapsed="false">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c r="AG940" s="56"/>
      <c r="AH940" s="56"/>
      <c r="AI940" s="56"/>
      <c r="AJ940" s="56"/>
      <c r="AK940" s="56"/>
      <c r="AL940" s="56"/>
      <c r="AM940" s="56"/>
      <c r="AN940" s="56"/>
      <c r="AO940" s="56"/>
      <c r="AP940" s="56"/>
    </row>
    <row r="941" customFormat="false" ht="14.25" hidden="false" customHeight="true" outlineLevel="0" collapsed="false">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c r="AG941" s="56"/>
      <c r="AH941" s="56"/>
      <c r="AI941" s="56"/>
      <c r="AJ941" s="56"/>
      <c r="AK941" s="56"/>
      <c r="AL941" s="56"/>
      <c r="AM941" s="56"/>
      <c r="AN941" s="56"/>
      <c r="AO941" s="56"/>
      <c r="AP941" s="56"/>
    </row>
    <row r="942" customFormat="false" ht="14.25" hidden="false" customHeight="true" outlineLevel="0" collapsed="false">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c r="AG942" s="56"/>
      <c r="AH942" s="56"/>
      <c r="AI942" s="56"/>
      <c r="AJ942" s="56"/>
      <c r="AK942" s="56"/>
      <c r="AL942" s="56"/>
      <c r="AM942" s="56"/>
      <c r="AN942" s="56"/>
      <c r="AO942" s="56"/>
      <c r="AP942" s="56"/>
    </row>
    <row r="943" customFormat="false" ht="14.25" hidden="false" customHeight="true" outlineLevel="0" collapsed="false">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c r="AG943" s="56"/>
      <c r="AH943" s="56"/>
      <c r="AI943" s="56"/>
      <c r="AJ943" s="56"/>
      <c r="AK943" s="56"/>
      <c r="AL943" s="56"/>
      <c r="AM943" s="56"/>
      <c r="AN943" s="56"/>
      <c r="AO943" s="56"/>
      <c r="AP943" s="56"/>
    </row>
    <row r="944" customFormat="false" ht="14.25" hidden="false" customHeight="true" outlineLevel="0" collapsed="false">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c r="AG944" s="56"/>
      <c r="AH944" s="56"/>
      <c r="AI944" s="56"/>
      <c r="AJ944" s="56"/>
      <c r="AK944" s="56"/>
      <c r="AL944" s="56"/>
      <c r="AM944" s="56"/>
      <c r="AN944" s="56"/>
      <c r="AO944" s="56"/>
      <c r="AP944" s="56"/>
    </row>
    <row r="945" customFormat="false" ht="14.25" hidden="false" customHeight="true" outlineLevel="0" collapsed="false">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c r="AG945" s="56"/>
      <c r="AH945" s="56"/>
      <c r="AI945" s="56"/>
      <c r="AJ945" s="56"/>
      <c r="AK945" s="56"/>
      <c r="AL945" s="56"/>
      <c r="AM945" s="56"/>
      <c r="AN945" s="56"/>
      <c r="AO945" s="56"/>
      <c r="AP945" s="56"/>
    </row>
    <row r="946" customFormat="false" ht="14.25" hidden="false" customHeight="true" outlineLevel="0" collapsed="false">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c r="AG946" s="56"/>
      <c r="AH946" s="56"/>
      <c r="AI946" s="56"/>
      <c r="AJ946" s="56"/>
      <c r="AK946" s="56"/>
      <c r="AL946" s="56"/>
      <c r="AM946" s="56"/>
      <c r="AN946" s="56"/>
      <c r="AO946" s="56"/>
      <c r="AP946" s="56"/>
    </row>
    <row r="947" customFormat="false" ht="14.25" hidden="false" customHeight="true" outlineLevel="0" collapsed="false">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c r="AG947" s="56"/>
      <c r="AH947" s="56"/>
      <c r="AI947" s="56"/>
      <c r="AJ947" s="56"/>
      <c r="AK947" s="56"/>
      <c r="AL947" s="56"/>
      <c r="AM947" s="56"/>
      <c r="AN947" s="56"/>
      <c r="AO947" s="56"/>
      <c r="AP947" s="56"/>
    </row>
    <row r="948" customFormat="false" ht="14.25" hidden="false" customHeight="true" outlineLevel="0" collapsed="false">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c r="AG948" s="56"/>
      <c r="AH948" s="56"/>
      <c r="AI948" s="56"/>
      <c r="AJ948" s="56"/>
      <c r="AK948" s="56"/>
      <c r="AL948" s="56"/>
      <c r="AM948" s="56"/>
      <c r="AN948" s="56"/>
      <c r="AO948" s="56"/>
      <c r="AP948" s="56"/>
    </row>
    <row r="949" customFormat="false" ht="14.25" hidden="false" customHeight="true" outlineLevel="0" collapsed="false">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c r="AG949" s="56"/>
      <c r="AH949" s="56"/>
      <c r="AI949" s="56"/>
      <c r="AJ949" s="56"/>
      <c r="AK949" s="56"/>
      <c r="AL949" s="56"/>
      <c r="AM949" s="56"/>
      <c r="AN949" s="56"/>
      <c r="AO949" s="56"/>
      <c r="AP949" s="56"/>
    </row>
    <row r="950" customFormat="false" ht="14.25" hidden="false" customHeight="true" outlineLevel="0" collapsed="false">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c r="AG950" s="56"/>
      <c r="AH950" s="56"/>
      <c r="AI950" s="56"/>
      <c r="AJ950" s="56"/>
      <c r="AK950" s="56"/>
      <c r="AL950" s="56"/>
      <c r="AM950" s="56"/>
      <c r="AN950" s="56"/>
      <c r="AO950" s="56"/>
      <c r="AP950" s="56"/>
    </row>
    <row r="951" customFormat="false" ht="14.25" hidden="false" customHeight="true" outlineLevel="0" collapsed="false">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c r="AG951" s="56"/>
      <c r="AH951" s="56"/>
      <c r="AI951" s="56"/>
      <c r="AJ951" s="56"/>
      <c r="AK951" s="56"/>
      <c r="AL951" s="56"/>
      <c r="AM951" s="56"/>
      <c r="AN951" s="56"/>
      <c r="AO951" s="56"/>
      <c r="AP951" s="56"/>
    </row>
    <row r="952" customFormat="false" ht="14.25" hidden="false" customHeight="true" outlineLevel="0" collapsed="false">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c r="AG952" s="56"/>
      <c r="AH952" s="56"/>
      <c r="AI952" s="56"/>
      <c r="AJ952" s="56"/>
      <c r="AK952" s="56"/>
      <c r="AL952" s="56"/>
      <c r="AM952" s="56"/>
      <c r="AN952" s="56"/>
      <c r="AO952" s="56"/>
      <c r="AP952" s="56"/>
    </row>
    <row r="953" customFormat="false" ht="14.25" hidden="false" customHeight="true" outlineLevel="0" collapsed="false">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56"/>
      <c r="AM953" s="56"/>
      <c r="AN953" s="56"/>
      <c r="AO953" s="56"/>
      <c r="AP953" s="56"/>
    </row>
    <row r="954" customFormat="false" ht="14.25" hidden="false" customHeight="true" outlineLevel="0" collapsed="false">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c r="AF954" s="56"/>
      <c r="AG954" s="56"/>
      <c r="AH954" s="56"/>
      <c r="AI954" s="56"/>
      <c r="AJ954" s="56"/>
      <c r="AK954" s="56"/>
      <c r="AL954" s="56"/>
      <c r="AM954" s="56"/>
      <c r="AN954" s="56"/>
      <c r="AO954" s="56"/>
      <c r="AP954" s="56"/>
    </row>
    <row r="955" customFormat="false" ht="14.25" hidden="false" customHeight="true" outlineLevel="0" collapsed="false">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c r="AF955" s="56"/>
      <c r="AG955" s="56"/>
      <c r="AH955" s="56"/>
      <c r="AI955" s="56"/>
      <c r="AJ955" s="56"/>
      <c r="AK955" s="56"/>
      <c r="AL955" s="56"/>
      <c r="AM955" s="56"/>
      <c r="AN955" s="56"/>
      <c r="AO955" s="56"/>
      <c r="AP955" s="56"/>
    </row>
    <row r="956" customFormat="false" ht="14.25" hidden="false" customHeight="true" outlineLevel="0" collapsed="false">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c r="AF956" s="56"/>
      <c r="AG956" s="56"/>
      <c r="AH956" s="56"/>
      <c r="AI956" s="56"/>
      <c r="AJ956" s="56"/>
      <c r="AK956" s="56"/>
      <c r="AL956" s="56"/>
      <c r="AM956" s="56"/>
      <c r="AN956" s="56"/>
      <c r="AO956" s="56"/>
      <c r="AP956" s="56"/>
    </row>
    <row r="957" customFormat="false" ht="14.25" hidden="false" customHeight="true" outlineLevel="0" collapsed="false">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c r="AF957" s="56"/>
      <c r="AG957" s="56"/>
      <c r="AH957" s="56"/>
      <c r="AI957" s="56"/>
      <c r="AJ957" s="56"/>
      <c r="AK957" s="56"/>
      <c r="AL957" s="56"/>
      <c r="AM957" s="56"/>
      <c r="AN957" s="56"/>
      <c r="AO957" s="56"/>
      <c r="AP957" s="56"/>
    </row>
    <row r="958" customFormat="false" ht="14.25" hidden="false" customHeight="true" outlineLevel="0" collapsed="false">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c r="AF958" s="56"/>
      <c r="AG958" s="56"/>
      <c r="AH958" s="56"/>
      <c r="AI958" s="56"/>
      <c r="AJ958" s="56"/>
      <c r="AK958" s="56"/>
      <c r="AL958" s="56"/>
      <c r="AM958" s="56"/>
      <c r="AN958" s="56"/>
      <c r="AO958" s="56"/>
      <c r="AP958" s="56"/>
    </row>
    <row r="959" customFormat="false" ht="14.25" hidden="false" customHeight="true" outlineLevel="0" collapsed="false">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6"/>
      <c r="AG959" s="56"/>
      <c r="AH959" s="56"/>
      <c r="AI959" s="56"/>
      <c r="AJ959" s="56"/>
      <c r="AK959" s="56"/>
      <c r="AL959" s="56"/>
      <c r="AM959" s="56"/>
      <c r="AN959" s="56"/>
      <c r="AO959" s="56"/>
      <c r="AP959" s="56"/>
    </row>
    <row r="960" customFormat="false" ht="14.25" hidden="false" customHeight="true" outlineLevel="0" collapsed="false">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c r="AF960" s="56"/>
      <c r="AG960" s="56"/>
      <c r="AH960" s="56"/>
      <c r="AI960" s="56"/>
      <c r="AJ960" s="56"/>
      <c r="AK960" s="56"/>
      <c r="AL960" s="56"/>
      <c r="AM960" s="56"/>
      <c r="AN960" s="56"/>
      <c r="AO960" s="56"/>
      <c r="AP960" s="56"/>
    </row>
    <row r="961" customFormat="false" ht="14.25" hidden="false" customHeight="true" outlineLevel="0" collapsed="false">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c r="AF961" s="56"/>
      <c r="AG961" s="56"/>
      <c r="AH961" s="56"/>
      <c r="AI961" s="56"/>
      <c r="AJ961" s="56"/>
      <c r="AK961" s="56"/>
      <c r="AL961" s="56"/>
      <c r="AM961" s="56"/>
      <c r="AN961" s="56"/>
      <c r="AO961" s="56"/>
      <c r="AP961" s="56"/>
    </row>
    <row r="962" customFormat="false" ht="14.25" hidden="false" customHeight="true" outlineLevel="0" collapsed="false">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c r="AF962" s="56"/>
      <c r="AG962" s="56"/>
      <c r="AH962" s="56"/>
      <c r="AI962" s="56"/>
      <c r="AJ962" s="56"/>
      <c r="AK962" s="56"/>
      <c r="AL962" s="56"/>
      <c r="AM962" s="56"/>
      <c r="AN962" s="56"/>
      <c r="AO962" s="56"/>
      <c r="AP962" s="56"/>
    </row>
    <row r="963" customFormat="false" ht="14.25" hidden="false" customHeight="true" outlineLevel="0" collapsed="false">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c r="AF963" s="56"/>
      <c r="AG963" s="56"/>
      <c r="AH963" s="56"/>
      <c r="AI963" s="56"/>
      <c r="AJ963" s="56"/>
      <c r="AK963" s="56"/>
      <c r="AL963" s="56"/>
      <c r="AM963" s="56"/>
      <c r="AN963" s="56"/>
      <c r="AO963" s="56"/>
      <c r="AP963" s="56"/>
    </row>
    <row r="964" customFormat="false" ht="14.25" hidden="false" customHeight="true" outlineLevel="0" collapsed="false">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c r="AF964" s="56"/>
      <c r="AG964" s="56"/>
      <c r="AH964" s="56"/>
      <c r="AI964" s="56"/>
      <c r="AJ964" s="56"/>
      <c r="AK964" s="56"/>
      <c r="AL964" s="56"/>
      <c r="AM964" s="56"/>
      <c r="AN964" s="56"/>
      <c r="AO964" s="56"/>
      <c r="AP964" s="56"/>
    </row>
    <row r="965" customFormat="false" ht="14.25" hidden="false" customHeight="true" outlineLevel="0" collapsed="false">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c r="AF965" s="56"/>
      <c r="AG965" s="56"/>
      <c r="AH965" s="56"/>
      <c r="AI965" s="56"/>
      <c r="AJ965" s="56"/>
      <c r="AK965" s="56"/>
      <c r="AL965" s="56"/>
      <c r="AM965" s="56"/>
      <c r="AN965" s="56"/>
      <c r="AO965" s="56"/>
      <c r="AP965" s="56"/>
    </row>
    <row r="966" customFormat="false" ht="14.25" hidden="false" customHeight="true" outlineLevel="0" collapsed="false">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c r="AF966" s="56"/>
      <c r="AG966" s="56"/>
      <c r="AH966" s="56"/>
      <c r="AI966" s="56"/>
      <c r="AJ966" s="56"/>
      <c r="AK966" s="56"/>
      <c r="AL966" s="56"/>
      <c r="AM966" s="56"/>
      <c r="AN966" s="56"/>
      <c r="AO966" s="56"/>
      <c r="AP966" s="56"/>
    </row>
    <row r="967" customFormat="false" ht="14.25" hidden="false" customHeight="true" outlineLevel="0" collapsed="false">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6"/>
      <c r="AG967" s="56"/>
      <c r="AH967" s="56"/>
      <c r="AI967" s="56"/>
      <c r="AJ967" s="56"/>
      <c r="AK967" s="56"/>
      <c r="AL967" s="56"/>
      <c r="AM967" s="56"/>
      <c r="AN967" s="56"/>
      <c r="AO967" s="56"/>
      <c r="AP967" s="56"/>
    </row>
    <row r="968" customFormat="false" ht="14.25" hidden="false" customHeight="true" outlineLevel="0" collapsed="false">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c r="AF968" s="56"/>
      <c r="AG968" s="56"/>
      <c r="AH968" s="56"/>
      <c r="AI968" s="56"/>
      <c r="AJ968" s="56"/>
      <c r="AK968" s="56"/>
      <c r="AL968" s="56"/>
      <c r="AM968" s="56"/>
      <c r="AN968" s="56"/>
      <c r="AO968" s="56"/>
      <c r="AP968" s="56"/>
    </row>
    <row r="969" customFormat="false" ht="14.25" hidden="false" customHeight="true" outlineLevel="0" collapsed="false">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c r="AF969" s="56"/>
      <c r="AG969" s="56"/>
      <c r="AH969" s="56"/>
      <c r="AI969" s="56"/>
      <c r="AJ969" s="56"/>
      <c r="AK969" s="56"/>
      <c r="AL969" s="56"/>
      <c r="AM969" s="56"/>
      <c r="AN969" s="56"/>
      <c r="AO969" s="56"/>
      <c r="AP969" s="56"/>
    </row>
    <row r="970" customFormat="false" ht="14.25" hidden="false" customHeight="true" outlineLevel="0" collapsed="false">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c r="AF970" s="56"/>
      <c r="AG970" s="56"/>
      <c r="AH970" s="56"/>
      <c r="AI970" s="56"/>
      <c r="AJ970" s="56"/>
      <c r="AK970" s="56"/>
      <c r="AL970" s="56"/>
      <c r="AM970" s="56"/>
      <c r="AN970" s="56"/>
      <c r="AO970" s="56"/>
      <c r="AP970" s="56"/>
    </row>
    <row r="971" customFormat="false" ht="14.25" hidden="false" customHeight="true" outlineLevel="0" collapsed="false">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c r="AF971" s="56"/>
      <c r="AG971" s="56"/>
      <c r="AH971" s="56"/>
      <c r="AI971" s="56"/>
      <c r="AJ971" s="56"/>
      <c r="AK971" s="56"/>
      <c r="AL971" s="56"/>
      <c r="AM971" s="56"/>
      <c r="AN971" s="56"/>
      <c r="AO971" s="56"/>
      <c r="AP971" s="56"/>
    </row>
    <row r="972" customFormat="false" ht="14.25" hidden="false" customHeight="true" outlineLevel="0" collapsed="false">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6"/>
      <c r="AG972" s="56"/>
      <c r="AH972" s="56"/>
      <c r="AI972" s="56"/>
      <c r="AJ972" s="56"/>
      <c r="AK972" s="56"/>
      <c r="AL972" s="56"/>
      <c r="AM972" s="56"/>
      <c r="AN972" s="56"/>
      <c r="AO972" s="56"/>
      <c r="AP972" s="56"/>
    </row>
    <row r="973" customFormat="false" ht="14.25" hidden="false" customHeight="true" outlineLevel="0" collapsed="false">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c r="AF973" s="56"/>
      <c r="AG973" s="56"/>
      <c r="AH973" s="56"/>
      <c r="AI973" s="56"/>
      <c r="AJ973" s="56"/>
      <c r="AK973" s="56"/>
      <c r="AL973" s="56"/>
      <c r="AM973" s="56"/>
      <c r="AN973" s="56"/>
      <c r="AO973" s="56"/>
      <c r="AP973" s="56"/>
    </row>
    <row r="974" customFormat="false" ht="14.25" hidden="false" customHeight="true" outlineLevel="0" collapsed="false">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c r="AF974" s="56"/>
      <c r="AG974" s="56"/>
      <c r="AH974" s="56"/>
      <c r="AI974" s="56"/>
      <c r="AJ974" s="56"/>
      <c r="AK974" s="56"/>
      <c r="AL974" s="56"/>
      <c r="AM974" s="56"/>
      <c r="AN974" s="56"/>
      <c r="AO974" s="56"/>
      <c r="AP974" s="56"/>
    </row>
    <row r="975" customFormat="false" ht="14.25" hidden="false" customHeight="true" outlineLevel="0" collapsed="false">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c r="AF975" s="56"/>
      <c r="AG975" s="56"/>
      <c r="AH975" s="56"/>
      <c r="AI975" s="56"/>
      <c r="AJ975" s="56"/>
      <c r="AK975" s="56"/>
      <c r="AL975" s="56"/>
      <c r="AM975" s="56"/>
      <c r="AN975" s="56"/>
      <c r="AO975" s="56"/>
      <c r="AP975" s="56"/>
    </row>
    <row r="976" customFormat="false" ht="14.25" hidden="false" customHeight="true" outlineLevel="0" collapsed="false">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6"/>
      <c r="AG976" s="56"/>
      <c r="AH976" s="56"/>
      <c r="AI976" s="56"/>
      <c r="AJ976" s="56"/>
      <c r="AK976" s="56"/>
      <c r="AL976" s="56"/>
      <c r="AM976" s="56"/>
      <c r="AN976" s="56"/>
      <c r="AO976" s="56"/>
      <c r="AP976" s="56"/>
    </row>
    <row r="977" customFormat="false" ht="14.25" hidden="false" customHeight="true" outlineLevel="0" collapsed="false">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c r="AF977" s="56"/>
      <c r="AG977" s="56"/>
      <c r="AH977" s="56"/>
      <c r="AI977" s="56"/>
      <c r="AJ977" s="56"/>
      <c r="AK977" s="56"/>
      <c r="AL977" s="56"/>
      <c r="AM977" s="56"/>
      <c r="AN977" s="56"/>
      <c r="AO977" s="56"/>
      <c r="AP977" s="56"/>
    </row>
    <row r="978" customFormat="false" ht="14.25" hidden="false" customHeight="true" outlineLevel="0" collapsed="false">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c r="AF978" s="56"/>
      <c r="AG978" s="56"/>
      <c r="AH978" s="56"/>
      <c r="AI978" s="56"/>
      <c r="AJ978" s="56"/>
      <c r="AK978" s="56"/>
      <c r="AL978" s="56"/>
      <c r="AM978" s="56"/>
      <c r="AN978" s="56"/>
      <c r="AO978" s="56"/>
      <c r="AP978" s="56"/>
    </row>
    <row r="979" customFormat="false" ht="14.25" hidden="false" customHeight="true" outlineLevel="0" collapsed="false">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c r="AF979" s="56"/>
      <c r="AG979" s="56"/>
      <c r="AH979" s="56"/>
      <c r="AI979" s="56"/>
      <c r="AJ979" s="56"/>
      <c r="AK979" s="56"/>
      <c r="AL979" s="56"/>
      <c r="AM979" s="56"/>
      <c r="AN979" s="56"/>
      <c r="AO979" s="56"/>
      <c r="AP979" s="56"/>
    </row>
    <row r="980" customFormat="false" ht="14.25" hidden="false" customHeight="true" outlineLevel="0" collapsed="false">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c r="AF980" s="56"/>
      <c r="AG980" s="56"/>
      <c r="AH980" s="56"/>
      <c r="AI980" s="56"/>
      <c r="AJ980" s="56"/>
      <c r="AK980" s="56"/>
      <c r="AL980" s="56"/>
      <c r="AM980" s="56"/>
      <c r="AN980" s="56"/>
      <c r="AO980" s="56"/>
      <c r="AP980" s="56"/>
    </row>
    <row r="981" customFormat="false" ht="14.25" hidden="false" customHeight="true" outlineLevel="0" collapsed="false">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c r="AF981" s="56"/>
      <c r="AG981" s="56"/>
      <c r="AH981" s="56"/>
      <c r="AI981" s="56"/>
      <c r="AJ981" s="56"/>
      <c r="AK981" s="56"/>
      <c r="AL981" s="56"/>
      <c r="AM981" s="56"/>
      <c r="AN981" s="56"/>
      <c r="AO981" s="56"/>
      <c r="AP981" s="56"/>
    </row>
    <row r="982" customFormat="false" ht="14.25" hidden="false" customHeight="true" outlineLevel="0" collapsed="false">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c r="AF982" s="56"/>
      <c r="AG982" s="56"/>
      <c r="AH982" s="56"/>
      <c r="AI982" s="56"/>
      <c r="AJ982" s="56"/>
      <c r="AK982" s="56"/>
      <c r="AL982" s="56"/>
      <c r="AM982" s="56"/>
      <c r="AN982" s="56"/>
      <c r="AO982" s="56"/>
      <c r="AP982" s="56"/>
    </row>
    <row r="983" customFormat="false" ht="14.25" hidden="false" customHeight="true" outlineLevel="0" collapsed="false">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c r="AF983" s="56"/>
      <c r="AG983" s="56"/>
      <c r="AH983" s="56"/>
      <c r="AI983" s="56"/>
      <c r="AJ983" s="56"/>
      <c r="AK983" s="56"/>
      <c r="AL983" s="56"/>
      <c r="AM983" s="56"/>
      <c r="AN983" s="56"/>
      <c r="AO983" s="56"/>
      <c r="AP983" s="56"/>
    </row>
    <row r="984" customFormat="false" ht="14.25" hidden="false" customHeight="true" outlineLevel="0" collapsed="false">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c r="AF984" s="56"/>
      <c r="AG984" s="56"/>
      <c r="AH984" s="56"/>
      <c r="AI984" s="56"/>
      <c r="AJ984" s="56"/>
      <c r="AK984" s="56"/>
      <c r="AL984" s="56"/>
      <c r="AM984" s="56"/>
      <c r="AN984" s="56"/>
      <c r="AO984" s="56"/>
      <c r="AP984" s="56"/>
    </row>
    <row r="985" customFormat="false" ht="14.25" hidden="false" customHeight="true" outlineLevel="0" collapsed="false">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row>
    <row r="986" customFormat="false" ht="14.25" hidden="false" customHeight="true" outlineLevel="0" collapsed="false">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row>
    <row r="987" customFormat="false" ht="14.25" hidden="false" customHeight="true" outlineLevel="0" collapsed="false">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row>
    <row r="988" customFormat="false" ht="14.25" hidden="false" customHeight="true" outlineLevel="0" collapsed="false">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row>
    <row r="989" customFormat="false" ht="14.25" hidden="false" customHeight="true" outlineLevel="0" collapsed="false">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row>
    <row r="990" customFormat="false" ht="14.25" hidden="false" customHeight="true" outlineLevel="0" collapsed="false">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row>
  </sheetData>
  <mergeCells count="1">
    <mergeCell ref="B10:Y10"/>
  </mergeCells>
  <conditionalFormatting sqref="V12:V29">
    <cfRule type="cellIs" priority="2" operator="equal" aboveAverage="0" equalAverage="0" bottom="0" percent="0" rank="0" text="" dxfId="0">
      <formula>"Very Low"</formula>
    </cfRule>
    <cfRule type="cellIs" priority="3" operator="equal" aboveAverage="0" equalAverage="0" bottom="0" percent="0" rank="0" text="" dxfId="1">
      <formula>"Low"</formula>
    </cfRule>
    <cfRule type="cellIs" priority="4" operator="equal" aboveAverage="0" equalAverage="0" bottom="0" percent="0" rank="0" text="" dxfId="2">
      <formula>"Medium"</formula>
    </cfRule>
    <cfRule type="cellIs" priority="5" operator="equal" aboveAverage="0" equalAverage="0" bottom="0" percent="0" rank="0" text="" dxfId="3">
      <formula>"High"</formula>
    </cfRule>
    <cfRule type="cellIs" priority="6" operator="equal" aboveAverage="0" equalAverage="0" bottom="0" percent="0" rank="0" text="" dxfId="4">
      <formula>"Critical"</formula>
    </cfRule>
  </conditionalFormatting>
  <conditionalFormatting sqref="M12:M29">
    <cfRule type="cellIs" priority="7" operator="equal" aboveAverage="0" equalAverage="0" bottom="0" percent="0" rank="0" text="" dxfId="0">
      <formula>"Very Low"</formula>
    </cfRule>
    <cfRule type="cellIs" priority="8" operator="equal" aboveAverage="0" equalAverage="0" bottom="0" percent="0" rank="0" text="" dxfId="5">
      <formula>"Low"</formula>
    </cfRule>
    <cfRule type="cellIs" priority="9" operator="equal" aboveAverage="0" equalAverage="0" bottom="0" percent="0" rank="0" text="" dxfId="2">
      <formula>"Medium"</formula>
    </cfRule>
    <cfRule type="cellIs" priority="10" operator="equal" aboveAverage="0" equalAverage="0" bottom="0" percent="0" rank="0" text="" dxfId="3">
      <formula>"High"</formula>
    </cfRule>
    <cfRule type="cellIs" priority="11" operator="equal" aboveAverage="0" equalAverage="0" bottom="0" percent="0" rank="0" text="" dxfId="4">
      <formula>"Critical"</formula>
    </cfRule>
  </conditionalFormatting>
  <conditionalFormatting sqref="G13:I13 G14:G15 H15 I14:I15">
    <cfRule type="expression" priority="12" aboveAverage="0" equalAverage="0" bottom="0" percent="0" rank="0" text="" dxfId="6">
      <formula>$C$12="Please select a program"</formula>
    </cfRule>
  </conditionalFormatting>
  <dataValidations count="3">
    <dataValidation allowBlank="false" errorStyle="stop" operator="between" prompt="Select the scope of risk" promptTitle="Risk Area" showDropDown="false" showErrorMessage="false" showInputMessage="true" sqref="C12:C29" type="list">
      <formula1>"IT assets,Business process,Personnel"</formula1>
      <formula2>0</formula2>
    </dataValidation>
    <dataValidation allowBlank="false" errorStyle="stop" operator="between" prompt="Select treatment action type" promptTitle="Treatment Type" showDropDown="false" showErrorMessage="false" showInputMessage="true" sqref="O12:O29" type="list">
      <formula1>"Risk Mitigation,Risk Avoidance,Risk Transfer,Risk Acceptance"</formula1>
      <formula2>0</formula2>
    </dataValidation>
    <dataValidation allowBlank="false" errorStyle="stop" operator="between" prompt="Select risk rating" promptTitle="Risk Rating" showDropDown="false" showErrorMessage="false" showInputMessage="true" sqref="N12:N29" type="list">
      <formula1>"Critical,High,Medium,Low,Very Low"</formula1>
      <formula2>0</formula2>
    </dataValidation>
  </dataValidations>
  <printOptions headings="false" gridLines="false" gridLinesSet="true" horizontalCentered="false" verticalCentered="false"/>
  <pageMargins left="0.7" right="0.7" top="0.75" bottom="0.75" header="0" footer="0"/>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&amp;R#FF8C00مقيد – داخلي_x005F_x000d_&amp;1#&amp;"Courier New,Regular"&amp;10 &amp;K0078d7مقيد – عام</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4.4453125" defaultRowHeight="15" zeroHeight="false" outlineLevelRow="0" outlineLevelCol="0"/>
  <cols>
    <col collapsed="false" customWidth="false" hidden="false" outlineLevel="0" max="1" min="1" style="28" width="14.44"/>
    <col collapsed="false" customWidth="true" hidden="false" outlineLevel="0" max="3" min="2" style="28" width="4.56"/>
    <col collapsed="false" customWidth="true" hidden="false" outlineLevel="0" max="8" min="4" style="28" width="14.56"/>
    <col collapsed="false" customWidth="false" hidden="false" outlineLevel="0" max="9" min="9" style="28" width="14.44"/>
    <col collapsed="false" customWidth="true" hidden="false" outlineLevel="0" max="11" min="10" style="28" width="4.56"/>
    <col collapsed="false" customWidth="true" hidden="false" outlineLevel="0" max="16" min="12" style="28" width="14.56"/>
    <col collapsed="false" customWidth="false" hidden="false" outlineLevel="0" max="16384" min="17" style="28" width="14.44"/>
  </cols>
  <sheetData>
    <row r="1" customFormat="false" ht="15" hidden="false" customHeight="true" outlineLevel="0" collapsed="false">
      <c r="A1" s="25"/>
      <c r="B1" s="25"/>
      <c r="C1" s="25"/>
      <c r="D1" s="25"/>
      <c r="E1" s="25"/>
      <c r="F1" s="25"/>
      <c r="G1" s="25"/>
      <c r="H1" s="25"/>
      <c r="I1" s="25"/>
      <c r="J1" s="25"/>
      <c r="K1" s="25"/>
      <c r="L1" s="25"/>
      <c r="M1" s="25"/>
      <c r="N1" s="25"/>
      <c r="O1" s="25"/>
      <c r="P1" s="25"/>
      <c r="Q1" s="25"/>
    </row>
    <row r="2" customFormat="false" ht="15" hidden="false" customHeight="true" outlineLevel="0" collapsed="false">
      <c r="A2" s="25"/>
      <c r="B2" s="25"/>
      <c r="C2" s="25"/>
      <c r="D2" s="25"/>
      <c r="E2" s="25"/>
      <c r="F2" s="25"/>
      <c r="G2" s="25"/>
      <c r="H2" s="25"/>
      <c r="I2" s="25"/>
      <c r="J2" s="25"/>
      <c r="K2" s="25"/>
      <c r="L2" s="25"/>
      <c r="M2" s="25"/>
      <c r="N2" s="25"/>
      <c r="O2" s="25"/>
      <c r="P2" s="25"/>
      <c r="Q2" s="25"/>
    </row>
    <row r="3" customFormat="false" ht="15" hidden="false" customHeight="true" outlineLevel="0" collapsed="false">
      <c r="A3" s="25"/>
      <c r="B3" s="25"/>
      <c r="C3" s="25"/>
      <c r="D3" s="25"/>
      <c r="E3" s="25"/>
      <c r="F3" s="25"/>
      <c r="G3" s="25"/>
      <c r="H3" s="25"/>
      <c r="I3" s="25"/>
      <c r="J3" s="25"/>
      <c r="K3" s="25"/>
      <c r="L3" s="25"/>
      <c r="M3" s="25"/>
      <c r="N3" s="25"/>
      <c r="O3" s="25"/>
      <c r="P3" s="25"/>
      <c r="Q3" s="25"/>
    </row>
    <row r="4" customFormat="false" ht="15" hidden="false" customHeight="true" outlineLevel="0" collapsed="false">
      <c r="A4" s="25"/>
      <c r="B4" s="25"/>
      <c r="C4" s="25"/>
      <c r="D4" s="25"/>
      <c r="E4" s="25"/>
      <c r="F4" s="25"/>
      <c r="G4" s="25"/>
      <c r="H4" s="25"/>
      <c r="I4" s="25"/>
      <c r="J4" s="25"/>
      <c r="K4" s="25"/>
      <c r="L4" s="25"/>
      <c r="M4" s="25"/>
      <c r="N4" s="25"/>
      <c r="O4" s="25"/>
      <c r="P4" s="25"/>
      <c r="Q4" s="25"/>
    </row>
    <row r="5" customFormat="false" ht="15" hidden="false" customHeight="true" outlineLevel="0" collapsed="false">
      <c r="A5" s="25"/>
      <c r="B5" s="25"/>
      <c r="C5" s="25"/>
      <c r="D5" s="25"/>
      <c r="E5" s="25"/>
      <c r="F5" s="25"/>
      <c r="G5" s="25"/>
      <c r="H5" s="25"/>
      <c r="I5" s="25"/>
      <c r="J5" s="25"/>
      <c r="K5" s="25"/>
      <c r="L5" s="25"/>
      <c r="M5" s="25"/>
      <c r="N5" s="25"/>
      <c r="O5" s="25"/>
      <c r="P5" s="25"/>
      <c r="Q5" s="25"/>
    </row>
    <row r="6" customFormat="false" ht="15" hidden="false" customHeight="true" outlineLevel="0" collapsed="false">
      <c r="A6" s="25"/>
      <c r="B6" s="25"/>
      <c r="C6" s="25"/>
      <c r="D6" s="25"/>
      <c r="E6" s="25"/>
      <c r="F6" s="25"/>
      <c r="G6" s="25"/>
      <c r="H6" s="25"/>
      <c r="I6" s="25"/>
      <c r="J6" s="25"/>
      <c r="K6" s="25"/>
      <c r="L6" s="25"/>
      <c r="M6" s="25"/>
      <c r="N6" s="25"/>
      <c r="O6" s="25"/>
      <c r="P6" s="25"/>
      <c r="Q6" s="25"/>
    </row>
    <row r="7" customFormat="false" ht="15" hidden="false" customHeight="true" outlineLevel="0" collapsed="false">
      <c r="A7" s="25"/>
      <c r="B7" s="25"/>
      <c r="C7" s="25"/>
      <c r="D7" s="25"/>
      <c r="E7" s="25"/>
      <c r="F7" s="25"/>
      <c r="G7" s="25"/>
      <c r="H7" s="25"/>
      <c r="I7" s="25"/>
      <c r="J7" s="25"/>
      <c r="K7" s="25"/>
      <c r="L7" s="25"/>
      <c r="M7" s="25"/>
      <c r="N7" s="25"/>
      <c r="O7" s="25"/>
      <c r="P7" s="25"/>
      <c r="Q7" s="25"/>
    </row>
    <row r="8" customFormat="false" ht="15" hidden="false" customHeight="true" outlineLevel="0" collapsed="false">
      <c r="A8" s="25"/>
      <c r="B8" s="25"/>
      <c r="C8" s="25"/>
      <c r="D8" s="60" t="str">
        <f aca="false">'Cover Page'!F24</f>
        <v>Confidential</v>
      </c>
      <c r="E8" s="25"/>
      <c r="F8" s="25"/>
      <c r="G8" s="25"/>
      <c r="H8" s="25"/>
      <c r="I8" s="25"/>
      <c r="J8" s="25"/>
      <c r="K8" s="25"/>
      <c r="L8" s="25"/>
      <c r="M8" s="25"/>
      <c r="N8" s="25"/>
      <c r="O8" s="25"/>
      <c r="P8" s="25"/>
      <c r="Q8" s="25"/>
    </row>
    <row r="9" customFormat="false" ht="20.25" hidden="false" customHeight="true" outlineLevel="0" collapsed="false">
      <c r="A9" s="36"/>
      <c r="B9" s="79" t="s">
        <v>225</v>
      </c>
      <c r="C9" s="79"/>
      <c r="D9" s="79"/>
      <c r="E9" s="79"/>
      <c r="F9" s="79"/>
      <c r="G9" s="79"/>
      <c r="H9" s="79"/>
      <c r="I9" s="25"/>
      <c r="J9" s="79" t="s">
        <v>226</v>
      </c>
      <c r="K9" s="79"/>
      <c r="L9" s="79"/>
      <c r="M9" s="79"/>
      <c r="N9" s="79"/>
      <c r="O9" s="79"/>
      <c r="P9" s="79"/>
      <c r="Q9" s="37"/>
    </row>
    <row r="10" customFormat="false" ht="54.75" hidden="false" customHeight="true" outlineLevel="0" collapsed="false">
      <c r="A10" s="36"/>
      <c r="B10" s="80" t="s">
        <v>227</v>
      </c>
      <c r="C10" s="80" t="s">
        <v>15</v>
      </c>
      <c r="D10" s="81" t="n">
        <f aca="false">COUNTIFS('Risk register'!$K:$K,1,'Risk register'!$L:$L,5)</f>
        <v>0</v>
      </c>
      <c r="E10" s="82" t="n">
        <f aca="false">COUNTIFS('Risk register'!$K:$K,2,'Risk register'!$L:$L,5)</f>
        <v>0</v>
      </c>
      <c r="F10" s="83" t="n">
        <f aca="false">COUNTIFS('Risk register'!$K:$K,3,'Risk register'!$L:$L,5)</f>
        <v>2</v>
      </c>
      <c r="G10" s="84" t="n">
        <f aca="false">COUNTIFS('Risk register'!$K:$K,4,'Risk register'!$L:$L,5)</f>
        <v>2</v>
      </c>
      <c r="H10" s="84" t="n">
        <f aca="false">COUNTIFS('Risk register'!$K:$K,5,'Risk register'!$L:$L,5)</f>
        <v>4</v>
      </c>
      <c r="I10" s="25"/>
      <c r="J10" s="80" t="s">
        <v>227</v>
      </c>
      <c r="K10" s="80" t="s">
        <v>15</v>
      </c>
      <c r="L10" s="81" t="n">
        <f aca="false">COUNTIFS('Risk register'!$T:$T,1,'Risk register'!$U:$U,5)</f>
        <v>0</v>
      </c>
      <c r="M10" s="82" t="n">
        <f aca="false">COUNTIFS('Risk register'!$T:$T,2,'Risk register'!$U:$U,5)</f>
        <v>4</v>
      </c>
      <c r="N10" s="83" t="n">
        <f aca="false">COUNTIFS('Risk register'!$T:$T,3,'Risk register'!$U:$U,5)</f>
        <v>0</v>
      </c>
      <c r="O10" s="84" t="n">
        <f aca="false">COUNTIFS('Risk register'!$T:$T,4,'Risk register'!$U:$U,5)</f>
        <v>0</v>
      </c>
      <c r="P10" s="84" t="n">
        <f aca="false">COUNTIFS('Risk register'!$T:$T,5,'Risk register'!$U:$U,5)</f>
        <v>0</v>
      </c>
      <c r="Q10" s="37"/>
    </row>
    <row r="11" customFormat="false" ht="54.75" hidden="false" customHeight="true" outlineLevel="0" collapsed="false">
      <c r="A11" s="36"/>
      <c r="B11" s="80"/>
      <c r="C11" s="80" t="s">
        <v>20</v>
      </c>
      <c r="D11" s="81" t="n">
        <f aca="false">COUNTIFS('Risk register'!$K:$K,1,'Risk register'!$L:$L,4)</f>
        <v>0</v>
      </c>
      <c r="E11" s="82" t="n">
        <f aca="false">COUNTIFS('Risk register'!$K:$K,2,'Risk register'!$L:$L,4)</f>
        <v>0</v>
      </c>
      <c r="F11" s="83" t="n">
        <f aca="false">COUNTIFS('Risk register'!$K:$K,3,'Risk register'!$L:$L,4)</f>
        <v>0</v>
      </c>
      <c r="G11" s="83" t="n">
        <f aca="false">COUNTIFS('Risk register'!$K:$K,4,'Risk register'!$L:$L,4)</f>
        <v>2</v>
      </c>
      <c r="H11" s="84" t="n">
        <f aca="false">COUNTIFS('Risk register'!$K:$K,5,'Risk register'!$L:$L,4)</f>
        <v>1</v>
      </c>
      <c r="I11" s="25"/>
      <c r="J11" s="80"/>
      <c r="K11" s="80" t="s">
        <v>20</v>
      </c>
      <c r="L11" s="81" t="n">
        <f aca="false">COUNTIFS('Risk register'!$T:$T,1,'Risk register'!$U:$U,4)</f>
        <v>0</v>
      </c>
      <c r="M11" s="82" t="n">
        <f aca="false">COUNTIFS('Risk register'!$T:$T,2,'Risk register'!$U:$U,4)</f>
        <v>2</v>
      </c>
      <c r="N11" s="83" t="n">
        <f aca="false">COUNTIFS('Risk register'!$T:$T,3,'Risk register'!$U:$U,4)</f>
        <v>0</v>
      </c>
      <c r="O11" s="83" t="n">
        <f aca="false">COUNTIFS('Risk register'!$T:$T,4,'Risk register'!$U:$U,4)</f>
        <v>1</v>
      </c>
      <c r="P11" s="84" t="n">
        <f aca="false">COUNTIFS('Risk register'!$T:$T,5,'Risk register'!$U:$U,4)</f>
        <v>0</v>
      </c>
      <c r="Q11" s="37"/>
    </row>
    <row r="12" customFormat="false" ht="54.75" hidden="false" customHeight="true" outlineLevel="0" collapsed="false">
      <c r="A12" s="36"/>
      <c r="B12" s="80"/>
      <c r="C12" s="80" t="s">
        <v>24</v>
      </c>
      <c r="D12" s="85" t="n">
        <f aca="false">COUNTIFS('Risk register'!$K:$K,1,'Risk register'!$L:$L,3)</f>
        <v>0</v>
      </c>
      <c r="E12" s="81" t="n">
        <f aca="false">COUNTIFS('Risk register'!$K:$K,2,'Risk register'!$L:$L,3)</f>
        <v>0</v>
      </c>
      <c r="F12" s="82" t="n">
        <f aca="false">COUNTIFS('Risk register'!$K:$K,3,'Risk register'!$L:$L,3)</f>
        <v>1</v>
      </c>
      <c r="G12" s="83" t="n">
        <f aca="false">COUNTIFS('Risk register'!$K:$K,4,'Risk register'!$L:$L,3)</f>
        <v>1</v>
      </c>
      <c r="H12" s="83" t="n">
        <f aca="false">COUNTIFS('Risk register'!$K:$K,5,'Risk register'!$L:$L,3)</f>
        <v>0</v>
      </c>
      <c r="I12" s="25"/>
      <c r="J12" s="80"/>
      <c r="K12" s="80" t="s">
        <v>24</v>
      </c>
      <c r="L12" s="85" t="n">
        <f aca="false">COUNTIFS('Risk register'!$T:$T,1,'Risk register'!$U:$U,3)</f>
        <v>0</v>
      </c>
      <c r="M12" s="81" t="n">
        <f aca="false">COUNTIFS('Risk register'!$T:$T,2,'Risk register'!$U:$U,3)</f>
        <v>2</v>
      </c>
      <c r="N12" s="82" t="n">
        <f aca="false">COUNTIFS('Risk register'!$T:$T,3,'Risk register'!$U:$U,3)</f>
        <v>2</v>
      </c>
      <c r="O12" s="83" t="n">
        <f aca="false">COUNTIFS('Risk register'!$T:$T,4,'Risk register'!$U:$U,3)</f>
        <v>0</v>
      </c>
      <c r="P12" s="83" t="n">
        <f aca="false">COUNTIFS('Risk register'!$T:$T,5,'Risk register'!$U:$U,3)</f>
        <v>0</v>
      </c>
      <c r="Q12" s="37"/>
    </row>
    <row r="13" customFormat="false" ht="54.75" hidden="false" customHeight="true" outlineLevel="0" collapsed="false">
      <c r="A13" s="36"/>
      <c r="B13" s="80"/>
      <c r="C13" s="80" t="s">
        <v>28</v>
      </c>
      <c r="D13" s="85" t="n">
        <f aca="false">COUNTIFS('Risk register'!$K:$K,1,'Risk register'!$L:$L,2)</f>
        <v>0</v>
      </c>
      <c r="E13" s="81" t="n">
        <f aca="false">COUNTIFS('Risk register'!$K:$K,2,'Risk register'!$L:$L,2)</f>
        <v>0</v>
      </c>
      <c r="F13" s="81" t="n">
        <f aca="false">COUNTIFS('Risk register'!$K:$K,3,'Risk register'!$L:$L,2)</f>
        <v>0</v>
      </c>
      <c r="G13" s="82" t="n">
        <f aca="false">COUNTIFS('Risk register'!$K:$K,4,'Risk register'!$L:$L,2)</f>
        <v>0</v>
      </c>
      <c r="H13" s="82" t="n">
        <f aca="false">COUNTIFS('Risk register'!$K:$K,5,'Risk register'!$L:$L,2)</f>
        <v>0</v>
      </c>
      <c r="I13" s="25"/>
      <c r="J13" s="80"/>
      <c r="K13" s="80" t="s">
        <v>28</v>
      </c>
      <c r="L13" s="85" t="n">
        <f aca="false">COUNTIFS('Risk register'!$T:$T,1,'Risk register'!$U:$U,2)</f>
        <v>0</v>
      </c>
      <c r="M13" s="81" t="n">
        <f aca="false">COUNTIFS('Risk register'!$T:$T,2,'Risk register'!$U:$U,2)</f>
        <v>1</v>
      </c>
      <c r="N13" s="81" t="n">
        <f aca="false">COUNTIFS('Risk register'!$T:$T,3,'Risk register'!$U:$U,2)</f>
        <v>0</v>
      </c>
      <c r="O13" s="82" t="n">
        <f aca="false">COUNTIFS('Risk register'!$T:$T,4,'Risk register'!$U:$U,2)</f>
        <v>0</v>
      </c>
      <c r="P13" s="82" t="n">
        <f aca="false">COUNTIFS('Risk register'!$T:$T,5,'Risk register'!$U:$U,2)</f>
        <v>0</v>
      </c>
      <c r="Q13" s="37"/>
    </row>
    <row r="14" customFormat="false" ht="54.75" hidden="false" customHeight="true" outlineLevel="0" collapsed="false">
      <c r="A14" s="36"/>
      <c r="B14" s="80"/>
      <c r="C14" s="80" t="s">
        <v>147</v>
      </c>
      <c r="D14" s="85" t="n">
        <f aca="false">COUNTIFS('Risk register'!$K:$K,1,'Risk register'!$L:$L,1)</f>
        <v>0</v>
      </c>
      <c r="E14" s="85" t="n">
        <f aca="false">COUNTIFS('Risk register'!$K:$K,2,'Risk register'!$L:$L,1)</f>
        <v>0</v>
      </c>
      <c r="F14" s="85" t="n">
        <f aca="false">COUNTIFS('Risk register'!$K:$K,3,'Risk register'!$L:$L,1)</f>
        <v>0</v>
      </c>
      <c r="G14" s="81" t="n">
        <f aca="false">COUNTIFS('Risk register'!$K:$K,4,'Risk register'!$L:$L,1)</f>
        <v>0</v>
      </c>
      <c r="H14" s="81" t="n">
        <f aca="false">COUNTIFS('Risk register'!$K:$K,5,'Risk register'!$L:$L,1)</f>
        <v>0</v>
      </c>
      <c r="I14" s="25"/>
      <c r="J14" s="80"/>
      <c r="K14" s="80" t="s">
        <v>147</v>
      </c>
      <c r="L14" s="85" t="n">
        <f aca="false">COUNTIFS('Risk register'!$T:$T,1,'Risk register'!$U:$U,1)</f>
        <v>1</v>
      </c>
      <c r="M14" s="85" t="n">
        <f aca="false">COUNTIFS('Risk register'!$T:$T,2,'Risk register'!$U:$U,1)</f>
        <v>0</v>
      </c>
      <c r="N14" s="85" t="n">
        <f aca="false">COUNTIFS('Risk register'!$T:$T,3,'Risk register'!$U:$U,1)</f>
        <v>0</v>
      </c>
      <c r="O14" s="81" t="n">
        <f aca="false">COUNTIFS('Risk register'!$T:$T,4,'Risk register'!$U:$U,1)</f>
        <v>0</v>
      </c>
      <c r="P14" s="81" t="n">
        <f aca="false">COUNTIFS('Risk register'!$T:$T,5,'Risk register'!$U:$U,1)</f>
        <v>0</v>
      </c>
      <c r="Q14" s="37"/>
    </row>
    <row r="15" customFormat="false" ht="15" hidden="false" customHeight="false" outlineLevel="0" collapsed="false">
      <c r="A15" s="36"/>
      <c r="B15" s="86"/>
      <c r="C15" s="86"/>
      <c r="D15" s="87" t="s">
        <v>147</v>
      </c>
      <c r="E15" s="87" t="s">
        <v>28</v>
      </c>
      <c r="F15" s="87" t="s">
        <v>24</v>
      </c>
      <c r="G15" s="87" t="s">
        <v>20</v>
      </c>
      <c r="H15" s="87" t="s">
        <v>15</v>
      </c>
      <c r="I15" s="25"/>
      <c r="J15" s="86"/>
      <c r="K15" s="86"/>
      <c r="L15" s="87" t="s">
        <v>147</v>
      </c>
      <c r="M15" s="87" t="s">
        <v>28</v>
      </c>
      <c r="N15" s="87" t="s">
        <v>24</v>
      </c>
      <c r="O15" s="87" t="s">
        <v>20</v>
      </c>
      <c r="P15" s="87" t="s">
        <v>15</v>
      </c>
      <c r="Q15" s="37"/>
    </row>
    <row r="16" customFormat="false" ht="15" hidden="false" customHeight="false" outlineLevel="0" collapsed="false">
      <c r="A16" s="36"/>
      <c r="B16" s="86"/>
      <c r="C16" s="86"/>
      <c r="D16" s="87" t="s">
        <v>228</v>
      </c>
      <c r="E16" s="87"/>
      <c r="F16" s="87"/>
      <c r="G16" s="87"/>
      <c r="H16" s="87"/>
      <c r="I16" s="25"/>
      <c r="J16" s="86"/>
      <c r="K16" s="86"/>
      <c r="L16" s="87" t="s">
        <v>228</v>
      </c>
      <c r="M16" s="87"/>
      <c r="N16" s="87"/>
      <c r="O16" s="87"/>
      <c r="P16" s="87"/>
      <c r="Q16" s="37"/>
    </row>
    <row r="17" customFormat="false" ht="15" hidden="false" customHeight="true" outlineLevel="0" collapsed="false">
      <c r="A17" s="88"/>
      <c r="B17" s="89"/>
      <c r="C17" s="89"/>
      <c r="D17" s="89"/>
      <c r="E17" s="89"/>
      <c r="F17" s="89"/>
      <c r="G17" s="89"/>
      <c r="H17" s="89"/>
      <c r="I17" s="89"/>
      <c r="J17" s="89"/>
      <c r="K17" s="89"/>
      <c r="L17" s="89"/>
      <c r="M17" s="89"/>
      <c r="N17" s="89"/>
      <c r="O17" s="89"/>
      <c r="P17" s="89"/>
      <c r="Q17" s="90"/>
    </row>
    <row r="18" customFormat="false" ht="15" hidden="false" customHeight="true" outlineLevel="0" collapsed="false">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customFormat="false" ht="15" hidden="false" customHeight="true" outlineLevel="0" collapsed="false">
      <c r="A19" s="91" t="s">
        <v>229</v>
      </c>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customFormat="false" ht="14.25" hidden="false" customHeight="true" outlineLevel="0" collapsed="false">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customFormat="false" ht="14.25" hidden="false" customHeight="true" outlineLevel="0" collapsed="false">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customFormat="false" ht="14.25" hidden="false" customHeight="true" outlineLevel="0" collapsed="false">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customFormat="false" ht="14.25" hidden="false" customHeight="true" outlineLevel="0" collapsed="false">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customFormat="false" ht="14.25" hidden="false" customHeight="true" outlineLevel="0" collapsed="false">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customFormat="false" ht="14.25" hidden="false" customHeight="true" outlineLevel="0" collapsed="false">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customFormat="false" ht="14.25" hidden="false" customHeight="true" outlineLevel="0" collapsed="false">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customFormat="false" ht="14.25" hidden="false" customHeight="true" outlineLevel="0" collapsed="false">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customFormat="false" ht="14.25" hidden="false" customHeight="true" outlineLevel="0" collapsed="false">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customFormat="false" ht="14.25" hidden="false" customHeight="true" outlineLevel="0" collapsed="false">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customFormat="false" ht="14.25" hidden="false" customHeight="true" outlineLevel="0" collapsed="false">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customFormat="false" ht="14.25" hidden="false" customHeight="true" outlineLevel="0" collapsed="false">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customFormat="false" ht="14.25" hidden="false" customHeight="true" outlineLevel="0" collapsed="false">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customFormat="false" ht="14.25" hidden="false" customHeight="true" outlineLevel="0" collapsed="false">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customFormat="false" ht="14.25" hidden="false" customHeight="true" outlineLevel="0" collapsed="false">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customFormat="false" ht="14.25" hidden="false" customHeight="true" outlineLevel="0" collapsed="false">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customFormat="false" ht="14.25" hidden="false" customHeight="true" outlineLevel="0" collapsed="false">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customFormat="false" ht="14.25" hidden="false" customHeight="true" outlineLevel="0" collapsed="false">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customFormat="false" ht="14.25" hidden="false" customHeight="true" outlineLevel="0" collapsed="false">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customFormat="false" ht="14.25" hidden="false" customHeight="true" outlineLevel="0" collapsed="false">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customFormat="false" ht="14.25" hidden="false" customHeight="true" outlineLevel="0" collapsed="false">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customFormat="false" ht="14.25" hidden="false" customHeight="true" outlineLevel="0" collapsed="false">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customFormat="false" ht="14.25" hidden="false" customHeight="true" outlineLevel="0" collapsed="false">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customFormat="false" ht="14.25" hidden="false" customHeight="true" outlineLevel="0" collapsed="false">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customFormat="false" ht="14.25" hidden="false" customHeight="true" outlineLevel="0" collapsed="false">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customFormat="false" ht="14.25" hidden="false" customHeight="true" outlineLevel="0" collapsed="false">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customFormat="false" ht="14.25" hidden="false" customHeight="true" outlineLevel="0" collapsed="false">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customFormat="false" ht="14.25" hidden="false" customHeight="true" outlineLevel="0" collapsed="false">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customFormat="false" ht="14.25" hidden="false" customHeight="true" outlineLevel="0" collapsed="false">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customFormat="false" ht="14.25" hidden="false" customHeight="true" outlineLevel="0" collapsed="false">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customFormat="false" ht="14.25" hidden="false" customHeight="true" outlineLevel="0" collapsed="false">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customFormat="false" ht="14.25" hidden="false" customHeight="true" outlineLevel="0" collapsed="false">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customFormat="false" ht="14.25" hidden="false" customHeight="true" outlineLevel="0" collapsed="false">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customFormat="false" ht="14.25" hidden="false" customHeight="true" outlineLevel="0" collapsed="false">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customFormat="false" ht="14.25" hidden="false" customHeight="true" outlineLevel="0" collapsed="false">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customFormat="false" ht="14.25" hidden="false" customHeight="true" outlineLevel="0" collapsed="false">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customFormat="false" ht="14.25" hidden="false" customHeight="true" outlineLevel="0" collapsed="false">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customFormat="false" ht="14.25" hidden="false" customHeight="true" outlineLevel="0" collapsed="false">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customFormat="false" ht="14.25" hidden="false" customHeight="true" outlineLevel="0" collapsed="false">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customFormat="false" ht="14.25" hidden="false" customHeight="true" outlineLevel="0" collapsed="false">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customFormat="false" ht="14.25" hidden="false" customHeight="true" outlineLevel="0" collapsed="false">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customFormat="false" ht="14.25" hidden="false" customHeight="true" outlineLevel="0" collapsed="false">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customFormat="false" ht="14.25" hidden="false" customHeight="true" outlineLevel="0" collapsed="false">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customFormat="false" ht="14.25" hidden="false" customHeight="true" outlineLevel="0" collapsed="false">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customFormat="false" ht="14.25" hidden="false" customHeight="true" outlineLevel="0" collapsed="false">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customFormat="false" ht="14.25" hidden="false" customHeight="true" outlineLevel="0" collapsed="false">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customFormat="false" ht="14.25" hidden="false" customHeight="true" outlineLevel="0" collapsed="false">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customFormat="false" ht="14.25" hidden="false" customHeight="true" outlineLevel="0" collapsed="false">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customFormat="false" ht="14.25" hidden="false" customHeight="true" outlineLevel="0" collapsed="false">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customFormat="false" ht="14.25" hidden="false" customHeight="true" outlineLevel="0" collapsed="false">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customFormat="false" ht="14.25" hidden="false" customHeight="true" outlineLevel="0" collapsed="false">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customFormat="false" ht="14.25" hidden="false" customHeight="true" outlineLevel="0" collapsed="false">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customFormat="false" ht="14.25" hidden="false" customHeight="true" outlineLevel="0" collapsed="false">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customFormat="false" ht="14.25" hidden="false" customHeight="true" outlineLevel="0" collapsed="false">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customFormat="false" ht="14.25" hidden="false" customHeight="true" outlineLevel="0" collapsed="false">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customFormat="false" ht="14.25" hidden="false" customHeight="true" outlineLevel="0" collapsed="false">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customFormat="false" ht="14.25" hidden="false" customHeight="true" outlineLevel="0" collapsed="false">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customFormat="false" ht="14.25" hidden="false" customHeight="true" outlineLevel="0" collapsed="false">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customFormat="false" ht="14.25" hidden="false" customHeight="true" outlineLevel="0" collapsed="false">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customFormat="false" ht="14.25" hidden="false" customHeight="true" outlineLevel="0" collapsed="false">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customFormat="false" ht="14.25" hidden="false" customHeight="true" outlineLevel="0" collapsed="false">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customFormat="false" ht="14.25" hidden="false" customHeight="true" outlineLevel="0" collapsed="false">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customFormat="false" ht="14.25" hidden="false" customHeight="true" outlineLevel="0" collapsed="false">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customFormat="false" ht="14.25" hidden="false" customHeight="true" outlineLevel="0" collapsed="false">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customFormat="false" ht="14.25" hidden="false" customHeight="true" outlineLevel="0" collapsed="false">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customFormat="false" ht="14.25" hidden="false" customHeight="true" outlineLevel="0" collapsed="false">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customFormat="false" ht="14.25" hidden="false" customHeight="true" outlineLevel="0" collapsed="false">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customFormat="false" ht="14.25" hidden="false" customHeight="true" outlineLevel="0" collapsed="false">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customFormat="false" ht="14.25" hidden="false" customHeight="true" outlineLevel="0" collapsed="false">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customFormat="false" ht="14.25" hidden="false" customHeight="true" outlineLevel="0" collapsed="false">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customFormat="false" ht="14.25" hidden="false" customHeight="true" outlineLevel="0" collapsed="false">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customFormat="false" ht="14.25" hidden="false" customHeight="true" outlineLevel="0" collapsed="false">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customFormat="false" ht="14.25" hidden="false" customHeight="true" outlineLevel="0" collapsed="false">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customFormat="false" ht="14.25" hidden="false" customHeight="true" outlineLevel="0" collapsed="false">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customFormat="false" ht="14.25" hidden="false" customHeight="true" outlineLevel="0" collapsed="false">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customFormat="false" ht="14.25" hidden="false" customHeight="true" outlineLevel="0" collapsed="false">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customFormat="false" ht="14.25" hidden="false" customHeight="true" outlineLevel="0" collapsed="false">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customFormat="false" ht="14.25" hidden="false" customHeight="true" outlineLevel="0" collapsed="false">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customFormat="false" ht="14.25" hidden="false" customHeight="true" outlineLevel="0" collapsed="false">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customFormat="false" ht="14.25" hidden="false" customHeight="true" outlineLevel="0" collapsed="false">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customFormat="false" ht="14.25" hidden="false" customHeight="true" outlineLevel="0" collapsed="false">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customFormat="false" ht="14.25" hidden="false" customHeight="true" outlineLevel="0" collapsed="false">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customFormat="false" ht="14.25" hidden="false" customHeight="true" outlineLevel="0" collapsed="false">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customFormat="false" ht="14.25" hidden="false" customHeight="true" outlineLevel="0" collapsed="false">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customFormat="false" ht="14.25" hidden="false" customHeight="true" outlineLevel="0" collapsed="false">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customFormat="false" ht="14.25" hidden="false" customHeight="true" outlineLevel="0" collapsed="false">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customFormat="false" ht="14.25" hidden="false" customHeight="true" outlineLevel="0" collapsed="false">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customFormat="false" ht="14.25" hidden="false" customHeight="true" outlineLevel="0" collapsed="false">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customFormat="false" ht="14.25" hidden="false" customHeight="true" outlineLevel="0" collapsed="false">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customFormat="false" ht="14.25" hidden="false" customHeight="true" outlineLevel="0" collapsed="false">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customFormat="false" ht="14.25" hidden="false" customHeight="true" outlineLevel="0" collapsed="false">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customFormat="false" ht="14.25" hidden="false" customHeight="true" outlineLevel="0" collapsed="false">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customFormat="false" ht="14.25" hidden="false" customHeight="true" outlineLevel="0" collapsed="false">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customFormat="false" ht="14.25" hidden="false" customHeight="true" outlineLevel="0" collapsed="false">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customFormat="false" ht="14.25" hidden="false" customHeight="true" outlineLevel="0" collapsed="false">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customFormat="false" ht="14.25" hidden="false" customHeight="true" outlineLevel="0" collapsed="false">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customFormat="false" ht="14.25" hidden="false" customHeight="true" outlineLevel="0" collapsed="false">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customFormat="false" ht="14.25" hidden="false" customHeight="true" outlineLevel="0" collapsed="false">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customFormat="false" ht="14.25" hidden="false" customHeight="true" outlineLevel="0" collapsed="false">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customFormat="false" ht="14.25" hidden="false" customHeight="true" outlineLevel="0" collapsed="false">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customFormat="false" ht="14.25" hidden="false" customHeight="true" outlineLevel="0" collapsed="false">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customFormat="false" ht="14.25" hidden="false" customHeight="true" outlineLevel="0" collapsed="false">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customFormat="false" ht="14.25" hidden="false" customHeight="true" outlineLevel="0" collapsed="false">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customFormat="false" ht="14.25" hidden="false" customHeight="true" outlineLevel="0" collapsed="false">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customFormat="false" ht="14.25" hidden="false" customHeight="true" outlineLevel="0" collapsed="false">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customFormat="false" ht="14.25" hidden="false" customHeight="true" outlineLevel="0" collapsed="false">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customFormat="false" ht="14.25" hidden="false" customHeight="true" outlineLevel="0" collapsed="false">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customFormat="false" ht="14.25" hidden="false" customHeight="true" outlineLevel="0" collapsed="false">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customFormat="false" ht="14.25" hidden="false" customHeight="true" outlineLevel="0" collapsed="false">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customFormat="false" ht="14.25" hidden="false" customHeight="true" outlineLevel="0" collapsed="false">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customFormat="false" ht="14.25" hidden="false" customHeight="true" outlineLevel="0" collapsed="false">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customFormat="false" ht="14.25" hidden="false" customHeight="true" outlineLevel="0" collapsed="false">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customFormat="false" ht="14.25" hidden="false" customHeight="true" outlineLevel="0" collapsed="false">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customFormat="false" ht="14.25" hidden="false" customHeight="true" outlineLevel="0" collapsed="false">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customFormat="false" ht="14.25" hidden="false" customHeight="true" outlineLevel="0" collapsed="false">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customFormat="false" ht="14.25" hidden="false" customHeight="true" outlineLevel="0" collapsed="false">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customFormat="false" ht="14.25" hidden="false" customHeight="true" outlineLevel="0" collapsed="false">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customFormat="false" ht="14.25" hidden="false" customHeight="true" outlineLevel="0" collapsed="false">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customFormat="false" ht="14.25" hidden="false" customHeight="true" outlineLevel="0" collapsed="false">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customFormat="false" ht="14.25" hidden="false" customHeight="true" outlineLevel="0" collapsed="false">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customFormat="false" ht="14.25" hidden="false" customHeight="true" outlineLevel="0" collapsed="false">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customFormat="false" ht="14.25" hidden="false" customHeight="true" outlineLevel="0" collapsed="false">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customFormat="false" ht="14.25" hidden="false" customHeight="true" outlineLevel="0" collapsed="false">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ustomFormat="false" ht="14.25" hidden="false" customHeight="true" outlineLevel="0" collapsed="false">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customFormat="false" ht="14.25" hidden="false" customHeight="true" outlineLevel="0" collapsed="false">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customFormat="false" ht="14.25" hidden="false" customHeight="true" outlineLevel="0" collapsed="false">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customFormat="false" ht="14.25" hidden="false" customHeight="true" outlineLevel="0" collapsed="false">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customFormat="false" ht="14.25" hidden="false" customHeight="true" outlineLevel="0" collapsed="false">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customFormat="false" ht="14.25" hidden="false" customHeight="true" outlineLevel="0" collapsed="false">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customFormat="false" ht="14.25" hidden="false" customHeight="true" outlineLevel="0" collapsed="false">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customFormat="false" ht="14.25" hidden="false" customHeight="true" outlineLevel="0" collapsed="false">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customFormat="false" ht="14.25" hidden="false" customHeight="true" outlineLevel="0" collapsed="false">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customFormat="false" ht="14.25" hidden="false" customHeight="true" outlineLevel="0" collapsed="false">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customFormat="false" ht="14.25" hidden="false" customHeight="true" outlineLevel="0" collapsed="false">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customFormat="false" ht="14.25" hidden="false" customHeight="true" outlineLevel="0" collapsed="false">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customFormat="false" ht="14.25" hidden="false" customHeight="true" outlineLevel="0" collapsed="false">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customFormat="false" ht="14.25" hidden="false" customHeight="true" outlineLevel="0" collapsed="false">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customFormat="false" ht="14.25" hidden="false" customHeight="true" outlineLevel="0" collapsed="false">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customFormat="false" ht="14.25" hidden="false" customHeight="true" outlineLevel="0" collapsed="false">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customFormat="false" ht="14.25" hidden="false" customHeight="true" outlineLevel="0" collapsed="false">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customFormat="false" ht="14.25" hidden="false" customHeight="true" outlineLevel="0" collapsed="false">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customFormat="false" ht="14.25" hidden="false" customHeight="true" outlineLevel="0" collapsed="false">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customFormat="false" ht="14.25" hidden="false" customHeight="true" outlineLevel="0" collapsed="false">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customFormat="false" ht="14.25" hidden="false" customHeight="true" outlineLevel="0" collapsed="false">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customFormat="false" ht="14.25" hidden="false" customHeight="true" outlineLevel="0" collapsed="false">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customFormat="false" ht="14.25" hidden="false" customHeight="true" outlineLevel="0" collapsed="false">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customFormat="false" ht="14.25" hidden="false" customHeight="true" outlineLevel="0" collapsed="false">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customFormat="false" ht="14.25" hidden="false" customHeight="true" outlineLevel="0" collapsed="false">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customFormat="false" ht="14.25" hidden="false" customHeight="true" outlineLevel="0" collapsed="false">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customFormat="false" ht="14.25" hidden="false" customHeight="true" outlineLevel="0" collapsed="false">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customFormat="false" ht="14.25" hidden="false" customHeight="true" outlineLevel="0" collapsed="false">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customFormat="false" ht="14.25" hidden="false" customHeight="true" outlineLevel="0" collapsed="false">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customFormat="false" ht="14.25" hidden="false" customHeight="true" outlineLevel="0" collapsed="false">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customFormat="false" ht="14.25" hidden="false" customHeight="true" outlineLevel="0" collapsed="false">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customFormat="false" ht="14.25" hidden="false" customHeight="true" outlineLevel="0" collapsed="false">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customFormat="false" ht="14.25" hidden="false" customHeight="true" outlineLevel="0" collapsed="false">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customFormat="false" ht="14.25" hidden="false" customHeight="true" outlineLevel="0" collapsed="false">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customFormat="false" ht="14.25" hidden="false" customHeight="true" outlineLevel="0" collapsed="false">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customFormat="false" ht="14.25" hidden="false" customHeight="true" outlineLevel="0" collapsed="false">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customFormat="false" ht="14.25" hidden="false" customHeight="true" outlineLevel="0" collapsed="false">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customFormat="false" ht="14.25" hidden="false" customHeight="true" outlineLevel="0" collapsed="false">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customFormat="false" ht="14.25" hidden="false" customHeight="true" outlineLevel="0" collapsed="false">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customFormat="false" ht="14.25" hidden="false" customHeight="true" outlineLevel="0" collapsed="false">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customFormat="false" ht="14.25" hidden="false" customHeight="true" outlineLevel="0" collapsed="false">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customFormat="false" ht="14.25" hidden="false" customHeight="true" outlineLevel="0" collapsed="false">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customFormat="false" ht="14.25" hidden="false" customHeight="true" outlineLevel="0" collapsed="false">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customFormat="false" ht="14.25" hidden="false" customHeight="true" outlineLevel="0" collapsed="false">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customFormat="false" ht="14.25" hidden="false" customHeight="true" outlineLevel="0" collapsed="false">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customFormat="false" ht="14.25" hidden="false" customHeight="true" outlineLevel="0" collapsed="false">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customFormat="false" ht="14.25" hidden="false" customHeight="true" outlineLevel="0" collapsed="false">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customFormat="false" ht="14.25" hidden="false" customHeight="true" outlineLevel="0" collapsed="false">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customFormat="false" ht="14.25" hidden="false" customHeight="true" outlineLevel="0" collapsed="false">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customFormat="false" ht="14.25" hidden="false" customHeight="true" outlineLevel="0" collapsed="false">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customFormat="false" ht="14.25" hidden="false" customHeight="true" outlineLevel="0" collapsed="false">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customFormat="false" ht="14.25" hidden="false" customHeight="true" outlineLevel="0" collapsed="false">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customFormat="false" ht="14.25" hidden="false" customHeight="true" outlineLevel="0" collapsed="false">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customFormat="false" ht="14.25" hidden="false" customHeight="true" outlineLevel="0" collapsed="false">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customFormat="false" ht="14.25" hidden="false" customHeight="true" outlineLevel="0" collapsed="false">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customFormat="false" ht="14.25" hidden="false" customHeight="true" outlineLevel="0" collapsed="false">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customFormat="false" ht="14.25" hidden="false" customHeight="true" outlineLevel="0" collapsed="false">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customFormat="false" ht="14.25" hidden="false" customHeight="true" outlineLevel="0" collapsed="false">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customFormat="false" ht="14.25" hidden="false" customHeight="true" outlineLevel="0" collapsed="false">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customFormat="false" ht="14.25" hidden="false" customHeight="true" outlineLevel="0" collapsed="false">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customFormat="false" ht="14.25" hidden="false" customHeight="true" outlineLevel="0" collapsed="false">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customFormat="false" ht="14.25" hidden="false" customHeight="true" outlineLevel="0" collapsed="false">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customFormat="false" ht="14.25" hidden="false" customHeight="true" outlineLevel="0" collapsed="false">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customFormat="false" ht="14.25" hidden="false" customHeight="true" outlineLevel="0" collapsed="false">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customFormat="false" ht="14.25" hidden="false" customHeight="true" outlineLevel="0" collapsed="false">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customFormat="false" ht="14.25" hidden="false" customHeight="true" outlineLevel="0" collapsed="false">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customFormat="false" ht="14.25" hidden="false" customHeight="true" outlineLevel="0" collapsed="false">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customFormat="false" ht="14.25" hidden="false" customHeight="true" outlineLevel="0" collapsed="false">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customFormat="false" ht="14.25" hidden="false" customHeight="true" outlineLevel="0" collapsed="false">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customFormat="false" ht="14.25" hidden="false" customHeight="true" outlineLevel="0" collapsed="false">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customFormat="false" ht="14.25" hidden="false" customHeight="true" outlineLevel="0" collapsed="false">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customFormat="false" ht="14.25" hidden="false" customHeight="true" outlineLevel="0" collapsed="false">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customFormat="false" ht="14.25" hidden="false" customHeight="true" outlineLevel="0" collapsed="false">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customFormat="false" ht="14.25" hidden="false" customHeight="true" outlineLevel="0" collapsed="false">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customFormat="false" ht="14.25" hidden="false" customHeight="true" outlineLevel="0" collapsed="false">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customFormat="false" ht="14.25" hidden="false" customHeight="true" outlineLevel="0" collapsed="false">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customFormat="false" ht="14.25" hidden="false" customHeight="true" outlineLevel="0" collapsed="false">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customFormat="false" ht="14.25" hidden="false" customHeight="true" outlineLevel="0" collapsed="false">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customFormat="false" ht="14.25" hidden="false" customHeight="true" outlineLevel="0" collapsed="false">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customFormat="false" ht="14.25" hidden="false" customHeight="true" outlineLevel="0" collapsed="false">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customFormat="false" ht="14.25" hidden="false" customHeight="true" outlineLevel="0" collapsed="false">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customFormat="false" ht="14.25" hidden="false" customHeight="true" outlineLevel="0" collapsed="false">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ustomFormat="false" ht="14.25" hidden="false" customHeight="true" outlineLevel="0" collapsed="false">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ustomFormat="false" ht="14.25" hidden="false" customHeight="true" outlineLevel="0" collapsed="false">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ustomFormat="false" ht="14.25" hidden="false" customHeight="true" outlineLevel="0" collapsed="false">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ustomFormat="false" ht="14.25" hidden="false" customHeight="true" outlineLevel="0" collapsed="false">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ustomFormat="false" ht="14.25" hidden="false" customHeight="true" outlineLevel="0" collapsed="false">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ustomFormat="false" ht="14.25" hidden="false" customHeight="true" outlineLevel="0" collapsed="false">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ustomFormat="false" ht="14.25" hidden="false" customHeight="true" outlineLevel="0" collapsed="false">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ustomFormat="false" ht="14.25" hidden="false" customHeight="true" outlineLevel="0" collapsed="false">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ustomFormat="false" ht="14.25" hidden="false" customHeight="true" outlineLevel="0" collapsed="false">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ustomFormat="false" ht="14.25" hidden="false" customHeight="true" outlineLevel="0" collapsed="false">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ustomFormat="false" ht="14.25" hidden="false" customHeight="true" outlineLevel="0" collapsed="false">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ustomFormat="false" ht="14.25" hidden="false" customHeight="true" outlineLevel="0" collapsed="false">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ustomFormat="false" ht="14.25" hidden="false" customHeight="true" outlineLevel="0" collapsed="false">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ustomFormat="false" ht="14.25" hidden="false" customHeight="true" outlineLevel="0" collapsed="false">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ustomFormat="false" ht="14.25" hidden="false" customHeight="true" outlineLevel="0" collapsed="false">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ustomFormat="false" ht="14.25" hidden="false" customHeight="true" outlineLevel="0" collapsed="false">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ustomFormat="false" ht="14.25" hidden="false" customHeight="true" outlineLevel="0" collapsed="false">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ustomFormat="false" ht="14.25" hidden="false" customHeight="true" outlineLevel="0" collapsed="false">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ustomFormat="false" ht="14.25" hidden="false" customHeight="true" outlineLevel="0" collapsed="false">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ustomFormat="false" ht="14.25" hidden="false" customHeight="true" outlineLevel="0" collapsed="false">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ustomFormat="false" ht="14.25" hidden="false" customHeight="true" outlineLevel="0" collapsed="false">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ustomFormat="false" ht="14.25" hidden="false" customHeight="true" outlineLevel="0" collapsed="false">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ustomFormat="false" ht="14.25" hidden="false" customHeight="true" outlineLevel="0" collapsed="false">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ustomFormat="false" ht="14.25" hidden="false" customHeight="true" outlineLevel="0" collapsed="false">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ustomFormat="false" ht="14.25" hidden="false" customHeight="true" outlineLevel="0" collapsed="false">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ustomFormat="false" ht="14.25" hidden="false" customHeight="true" outlineLevel="0" collapsed="false">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ustomFormat="false" ht="14.25" hidden="false" customHeight="true" outlineLevel="0" collapsed="false">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ustomFormat="false" ht="14.25" hidden="false" customHeight="true" outlineLevel="0" collapsed="false">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ustomFormat="false" ht="14.25" hidden="false" customHeight="true" outlineLevel="0" collapsed="false">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ustomFormat="false" ht="14.25" hidden="false" customHeight="true" outlineLevel="0" collapsed="false">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ustomFormat="false" ht="14.25" hidden="false" customHeight="true" outlineLevel="0" collapsed="false">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ustomFormat="false" ht="14.25" hidden="false" customHeight="true" outlineLevel="0" collapsed="false">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ustomFormat="false" ht="14.25" hidden="false" customHeight="true" outlineLevel="0" collapsed="false">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ustomFormat="false" ht="14.25" hidden="false" customHeight="true" outlineLevel="0" collapsed="false">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ustomFormat="false" ht="14.25" hidden="false" customHeight="true" outlineLevel="0" collapsed="false">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ustomFormat="false" ht="14.25" hidden="false" customHeight="true" outlineLevel="0" collapsed="false">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ustomFormat="false" ht="14.25" hidden="false" customHeight="true" outlineLevel="0" collapsed="false">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ustomFormat="false" ht="14.25" hidden="false" customHeight="true" outlineLevel="0" collapsed="false">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ustomFormat="false" ht="14.25" hidden="false" customHeight="true" outlineLevel="0" collapsed="false">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ustomFormat="false" ht="14.25" hidden="false" customHeight="true" outlineLevel="0" collapsed="false">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ustomFormat="false" ht="14.25" hidden="false" customHeight="true" outlineLevel="0" collapsed="false">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ustomFormat="false" ht="14.25" hidden="false" customHeight="true" outlineLevel="0" collapsed="false">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ustomFormat="false" ht="14.25" hidden="false" customHeight="true" outlineLevel="0" collapsed="false">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ustomFormat="false" ht="14.25" hidden="false" customHeight="true" outlineLevel="0" collapsed="false">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ustomFormat="false" ht="14.25" hidden="false" customHeight="true" outlineLevel="0" collapsed="false">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ustomFormat="false" ht="14.25" hidden="false" customHeight="true" outlineLevel="0" collapsed="false">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ustomFormat="false" ht="14.25" hidden="false" customHeight="true" outlineLevel="0" collapsed="false">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ustomFormat="false" ht="14.25" hidden="false" customHeight="true" outlineLevel="0" collapsed="false">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ustomFormat="false" ht="14.25" hidden="false" customHeight="true" outlineLevel="0" collapsed="false">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ustomFormat="false" ht="14.25" hidden="false" customHeight="true" outlineLevel="0" collapsed="false">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ustomFormat="false" ht="14.25" hidden="false" customHeight="true" outlineLevel="0" collapsed="false">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ustomFormat="false" ht="14.25" hidden="false" customHeight="true" outlineLevel="0" collapsed="false">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ustomFormat="false" ht="14.25" hidden="false" customHeight="true" outlineLevel="0" collapsed="false">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ustomFormat="false" ht="14.25" hidden="false" customHeight="true" outlineLevel="0" collapsed="false">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ustomFormat="false" ht="14.25" hidden="false" customHeight="true" outlineLevel="0" collapsed="false">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ustomFormat="false" ht="14.25" hidden="false" customHeight="true" outlineLevel="0" collapsed="false">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ustomFormat="false" ht="14.25" hidden="false" customHeight="true" outlineLevel="0" collapsed="false">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ustomFormat="false" ht="14.25" hidden="false" customHeight="true" outlineLevel="0" collapsed="false">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ustomFormat="false" ht="14.25" hidden="false" customHeight="true" outlineLevel="0" collapsed="false">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ustomFormat="false" ht="14.25" hidden="false" customHeight="true" outlineLevel="0" collapsed="false">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ustomFormat="false" ht="14.25" hidden="false" customHeight="true" outlineLevel="0" collapsed="false">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ustomFormat="false" ht="14.25" hidden="false" customHeight="true" outlineLevel="0" collapsed="false">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ustomFormat="false" ht="14.25" hidden="false" customHeight="true" outlineLevel="0" collapsed="false">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ustomFormat="false" ht="14.25" hidden="false" customHeight="true" outlineLevel="0" collapsed="false">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ustomFormat="false" ht="14.25" hidden="false" customHeight="true" outlineLevel="0" collapsed="false">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ustomFormat="false" ht="14.25" hidden="false" customHeight="true" outlineLevel="0" collapsed="false">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ustomFormat="false" ht="14.25" hidden="false" customHeight="true" outlineLevel="0" collapsed="false">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ustomFormat="false" ht="14.25" hidden="false" customHeight="true" outlineLevel="0" collapsed="false">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ustomFormat="false" ht="14.25" hidden="false" customHeight="true" outlineLevel="0" collapsed="false">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ustomFormat="false" ht="14.25" hidden="false" customHeight="true" outlineLevel="0" collapsed="false">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ustomFormat="false" ht="14.25" hidden="false" customHeight="true" outlineLevel="0" collapsed="false">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ustomFormat="false" ht="14.25" hidden="false" customHeight="true" outlineLevel="0" collapsed="false">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ustomFormat="false" ht="14.25" hidden="false" customHeight="true" outlineLevel="0" collapsed="false">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ustomFormat="false" ht="14.25" hidden="false" customHeight="true" outlineLevel="0" collapsed="false">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ustomFormat="false" ht="14.25" hidden="false" customHeight="true" outlineLevel="0" collapsed="false">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ustomFormat="false" ht="14.25" hidden="false" customHeight="true" outlineLevel="0" collapsed="false">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ustomFormat="false" ht="14.25" hidden="false" customHeight="true" outlineLevel="0" collapsed="false">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ustomFormat="false" ht="14.25" hidden="false" customHeight="true" outlineLevel="0" collapsed="false">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ustomFormat="false" ht="14.25" hidden="false" customHeight="true" outlineLevel="0" collapsed="false">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ustomFormat="false" ht="14.25" hidden="false" customHeight="true" outlineLevel="0" collapsed="false">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ustomFormat="false" ht="14.25" hidden="false" customHeight="true" outlineLevel="0" collapsed="false">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ustomFormat="false" ht="14.25" hidden="false" customHeight="true" outlineLevel="0" collapsed="false">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ustomFormat="false" ht="14.25" hidden="false" customHeight="true" outlineLevel="0" collapsed="false">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ustomFormat="false" ht="14.25" hidden="false" customHeight="true" outlineLevel="0" collapsed="false">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ustomFormat="false" ht="14.25" hidden="false" customHeight="true" outlineLevel="0" collapsed="false">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ustomFormat="false" ht="14.25" hidden="false" customHeight="true" outlineLevel="0" collapsed="false">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ustomFormat="false" ht="14.25" hidden="false" customHeight="true" outlineLevel="0" collapsed="false">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ustomFormat="false" ht="14.25" hidden="false" customHeight="true" outlineLevel="0" collapsed="false">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ustomFormat="false" ht="14.25" hidden="false" customHeight="true" outlineLevel="0" collapsed="false">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ustomFormat="false" ht="14.25" hidden="false" customHeight="true" outlineLevel="0" collapsed="false">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ustomFormat="false" ht="14.25" hidden="false" customHeight="true" outlineLevel="0" collapsed="false">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ustomFormat="false" ht="14.25" hidden="false" customHeight="true" outlineLevel="0" collapsed="false">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ustomFormat="false" ht="14.25" hidden="false" customHeight="true" outlineLevel="0" collapsed="false">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ustomFormat="false" ht="14.25" hidden="false" customHeight="true" outlineLevel="0" collapsed="false">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ustomFormat="false" ht="14.25" hidden="false" customHeight="true" outlineLevel="0" collapsed="false">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ustomFormat="false" ht="14.25" hidden="false" customHeight="true" outlineLevel="0" collapsed="false">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ustomFormat="false" ht="14.25" hidden="false" customHeight="true" outlineLevel="0" collapsed="false">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ustomFormat="false" ht="14.25" hidden="false" customHeight="true" outlineLevel="0" collapsed="false">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ustomFormat="false" ht="14.25" hidden="false" customHeight="true" outlineLevel="0" collapsed="false">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ustomFormat="false" ht="14.25" hidden="false" customHeight="true" outlineLevel="0" collapsed="false">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ustomFormat="false" ht="14.25" hidden="false" customHeight="true" outlineLevel="0" collapsed="false">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ustomFormat="false" ht="14.25" hidden="false" customHeight="true" outlineLevel="0" collapsed="false">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ustomFormat="false" ht="14.25" hidden="false" customHeight="true" outlineLevel="0" collapsed="false">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ustomFormat="false" ht="14.25" hidden="false" customHeight="true" outlineLevel="0" collapsed="false">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ustomFormat="false" ht="14.25" hidden="false" customHeight="true" outlineLevel="0" collapsed="false">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ustomFormat="false" ht="14.25" hidden="false" customHeight="true" outlineLevel="0" collapsed="false">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ustomFormat="false" ht="14.25" hidden="false" customHeight="true" outlineLevel="0" collapsed="false">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ustomFormat="false" ht="14.25" hidden="false" customHeight="true" outlineLevel="0" collapsed="false">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ustomFormat="false" ht="14.25" hidden="false" customHeight="true" outlineLevel="0" collapsed="false">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ustomFormat="false" ht="14.25" hidden="false" customHeight="true" outlineLevel="0" collapsed="false">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ustomFormat="false" ht="14.25" hidden="false" customHeight="true" outlineLevel="0" collapsed="false">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ustomFormat="false" ht="14.25" hidden="false" customHeight="true" outlineLevel="0" collapsed="false">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ustomFormat="false" ht="14.25" hidden="false" customHeight="true" outlineLevel="0" collapsed="false">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ustomFormat="false" ht="14.25" hidden="false" customHeight="true" outlineLevel="0" collapsed="false">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ustomFormat="false" ht="14.25" hidden="false" customHeight="true" outlineLevel="0" collapsed="false">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ustomFormat="false" ht="14.25" hidden="false" customHeight="true" outlineLevel="0" collapsed="false">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ustomFormat="false" ht="14.25" hidden="false" customHeight="true" outlineLevel="0" collapsed="false">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ustomFormat="false" ht="14.25" hidden="false" customHeight="true" outlineLevel="0" collapsed="false">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ustomFormat="false" ht="14.25" hidden="false" customHeight="true" outlineLevel="0" collapsed="false">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ustomFormat="false" ht="14.25" hidden="false" customHeight="true" outlineLevel="0" collapsed="false">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ustomFormat="false" ht="14.25" hidden="false" customHeight="true" outlineLevel="0" collapsed="false">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ustomFormat="false" ht="14.25" hidden="false" customHeight="true" outlineLevel="0" collapsed="false">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ustomFormat="false" ht="14.25" hidden="false" customHeight="true" outlineLevel="0" collapsed="false">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ustomFormat="false" ht="14.25" hidden="false" customHeight="true" outlineLevel="0" collapsed="false">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ustomFormat="false" ht="14.25" hidden="false" customHeight="true" outlineLevel="0" collapsed="false">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ustomFormat="false" ht="14.25" hidden="false" customHeight="true" outlineLevel="0" collapsed="false">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ustomFormat="false" ht="14.25" hidden="false" customHeight="true" outlineLevel="0" collapsed="false">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ustomFormat="false" ht="14.25" hidden="false" customHeight="true" outlineLevel="0" collapsed="false">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ustomFormat="false" ht="14.25" hidden="false" customHeight="true" outlineLevel="0" collapsed="false">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ustomFormat="false" ht="14.25" hidden="false" customHeight="true" outlineLevel="0" collapsed="false">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ustomFormat="false" ht="14.25" hidden="false" customHeight="true" outlineLevel="0" collapsed="false">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ustomFormat="false" ht="14.25" hidden="false" customHeight="true" outlineLevel="0" collapsed="false">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ustomFormat="false" ht="14.25" hidden="false" customHeight="true" outlineLevel="0" collapsed="false">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ustomFormat="false" ht="14.25" hidden="false" customHeight="true" outlineLevel="0" collapsed="false">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ustomFormat="false" ht="14.25" hidden="false" customHeight="true" outlineLevel="0" collapsed="false">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ustomFormat="false" ht="14.25" hidden="false" customHeight="true" outlineLevel="0" collapsed="false">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ustomFormat="false" ht="14.25" hidden="false" customHeight="true" outlineLevel="0" collapsed="false">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ustomFormat="false" ht="14.25" hidden="false" customHeight="true" outlineLevel="0" collapsed="false">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ustomFormat="false" ht="14.25" hidden="false" customHeight="true" outlineLevel="0" collapsed="false">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ustomFormat="false" ht="14.25" hidden="false" customHeight="true" outlineLevel="0" collapsed="false">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ustomFormat="false" ht="14.25" hidden="false" customHeight="true" outlineLevel="0" collapsed="false">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ustomFormat="false" ht="14.25" hidden="false" customHeight="true" outlineLevel="0" collapsed="false">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ustomFormat="false" ht="14.25" hidden="false" customHeight="true" outlineLevel="0" collapsed="false">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ustomFormat="false" ht="14.25" hidden="false" customHeight="true" outlineLevel="0" collapsed="false">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ustomFormat="false" ht="14.25" hidden="false" customHeight="true" outlineLevel="0" collapsed="false">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ustomFormat="false" ht="14.25" hidden="false" customHeight="true" outlineLevel="0" collapsed="false">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ustomFormat="false" ht="14.25" hidden="false" customHeight="true" outlineLevel="0" collapsed="false">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ustomFormat="false" ht="14.25" hidden="false" customHeight="true" outlineLevel="0" collapsed="false">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ustomFormat="false" ht="14.25" hidden="false" customHeight="true" outlineLevel="0" collapsed="false">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ustomFormat="false" ht="14.25" hidden="false" customHeight="true" outlineLevel="0" collapsed="false">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ustomFormat="false" ht="14.25" hidden="false" customHeight="true" outlineLevel="0" collapsed="false">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ustomFormat="false" ht="14.25" hidden="false" customHeight="true" outlineLevel="0" collapsed="false">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ustomFormat="false" ht="14.25" hidden="false" customHeight="true" outlineLevel="0" collapsed="false">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ustomFormat="false" ht="14.25" hidden="false" customHeight="true" outlineLevel="0" collapsed="false">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ustomFormat="false" ht="14.25" hidden="false" customHeight="true" outlineLevel="0" collapsed="false">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ustomFormat="false" ht="14.25" hidden="false" customHeight="true" outlineLevel="0" collapsed="false">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ustomFormat="false" ht="14.25" hidden="false" customHeight="true" outlineLevel="0" collapsed="false">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ustomFormat="false" ht="14.25" hidden="false" customHeight="true" outlineLevel="0" collapsed="false">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ustomFormat="false" ht="14.25" hidden="false" customHeight="true" outlineLevel="0" collapsed="false">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ustomFormat="false" ht="14.25" hidden="false" customHeight="true" outlineLevel="0" collapsed="false">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ustomFormat="false" ht="14.25" hidden="false" customHeight="true" outlineLevel="0" collapsed="false">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ustomFormat="false" ht="14.25" hidden="false" customHeight="true" outlineLevel="0" collapsed="false">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ustomFormat="false" ht="14.25" hidden="false" customHeight="true" outlineLevel="0" collapsed="false">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ustomFormat="false" ht="14.25" hidden="false" customHeight="true" outlineLevel="0" collapsed="false">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ustomFormat="false" ht="14.25" hidden="false" customHeight="true" outlineLevel="0" collapsed="false">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ustomFormat="false" ht="14.25" hidden="false" customHeight="true" outlineLevel="0" collapsed="false">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ustomFormat="false" ht="14.25" hidden="false" customHeight="true" outlineLevel="0" collapsed="false">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ustomFormat="false" ht="14.25" hidden="false" customHeight="true" outlineLevel="0" collapsed="false">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ustomFormat="false" ht="14.25" hidden="false" customHeight="true" outlineLevel="0" collapsed="false">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ustomFormat="false" ht="14.25" hidden="false" customHeight="true" outlineLevel="0" collapsed="false">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ustomFormat="false" ht="14.25" hidden="false" customHeight="true" outlineLevel="0" collapsed="false">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ustomFormat="false" ht="14.25" hidden="false" customHeight="true" outlineLevel="0" collapsed="false">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ustomFormat="false" ht="14.25" hidden="false" customHeight="true" outlineLevel="0" collapsed="false">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ustomFormat="false" ht="14.25" hidden="false" customHeight="true" outlineLevel="0" collapsed="false">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ustomFormat="false" ht="14.25" hidden="false" customHeight="true" outlineLevel="0" collapsed="false">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ustomFormat="false" ht="14.25" hidden="false" customHeight="true" outlineLevel="0" collapsed="false">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ustomFormat="false" ht="14.25" hidden="false" customHeight="true" outlineLevel="0" collapsed="false">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ustomFormat="false" ht="14.25" hidden="false" customHeight="true" outlineLevel="0" collapsed="false">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ustomFormat="false" ht="14.25" hidden="false" customHeight="true" outlineLevel="0" collapsed="false">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ustomFormat="false" ht="14.25" hidden="false" customHeight="true" outlineLevel="0" collapsed="false">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ustomFormat="false" ht="14.25" hidden="false" customHeight="true" outlineLevel="0" collapsed="false">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ustomFormat="false" ht="14.25" hidden="false" customHeight="true" outlineLevel="0" collapsed="false">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ustomFormat="false" ht="14.25" hidden="false" customHeight="true" outlineLevel="0" collapsed="false">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ustomFormat="false" ht="14.25" hidden="false" customHeight="true" outlineLevel="0" collapsed="false">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ustomFormat="false" ht="14.25" hidden="false" customHeight="true" outlineLevel="0" collapsed="false">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ustomFormat="false" ht="14.25" hidden="false" customHeight="true" outlineLevel="0" collapsed="false">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ustomFormat="false" ht="14.25" hidden="false" customHeight="true" outlineLevel="0" collapsed="false">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ustomFormat="false" ht="14.25" hidden="false" customHeight="true" outlineLevel="0" collapsed="false">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ustomFormat="false" ht="14.25" hidden="false" customHeight="true" outlineLevel="0" collapsed="false">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ustomFormat="false" ht="14.25" hidden="false" customHeight="true" outlineLevel="0" collapsed="false">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ustomFormat="false" ht="14.25" hidden="false" customHeight="true" outlineLevel="0" collapsed="false">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ustomFormat="false" ht="14.25" hidden="false" customHeight="true" outlineLevel="0" collapsed="false">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ustomFormat="false" ht="14.25" hidden="false" customHeight="true" outlineLevel="0" collapsed="false">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ustomFormat="false" ht="14.25" hidden="false" customHeight="true" outlineLevel="0" collapsed="false">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ustomFormat="false" ht="14.25" hidden="false" customHeight="true" outlineLevel="0" collapsed="false">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ustomFormat="false" ht="14.25" hidden="false" customHeight="true" outlineLevel="0" collapsed="false">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ustomFormat="false" ht="14.25" hidden="false" customHeight="true" outlineLevel="0" collapsed="false">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ustomFormat="false" ht="14.25" hidden="false" customHeight="true" outlineLevel="0" collapsed="false">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ustomFormat="false" ht="14.25" hidden="false" customHeight="true" outlineLevel="0" collapsed="false">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ustomFormat="false" ht="14.25" hidden="false" customHeight="true" outlineLevel="0" collapsed="false">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ustomFormat="false" ht="14.25" hidden="false" customHeight="true" outlineLevel="0" collapsed="false">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ustomFormat="false" ht="14.25" hidden="false" customHeight="true" outlineLevel="0" collapsed="false">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ustomFormat="false" ht="14.25" hidden="false" customHeight="true" outlineLevel="0" collapsed="false">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ustomFormat="false" ht="14.25" hidden="false" customHeight="true" outlineLevel="0" collapsed="false">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ustomFormat="false" ht="14.25" hidden="false" customHeight="true" outlineLevel="0" collapsed="false">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ustomFormat="false" ht="14.25" hidden="false" customHeight="true" outlineLevel="0" collapsed="false">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ustomFormat="false" ht="14.25" hidden="false" customHeight="true" outlineLevel="0" collapsed="false">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ustomFormat="false" ht="14.25" hidden="false" customHeight="true" outlineLevel="0" collapsed="false">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ustomFormat="false" ht="14.25" hidden="false" customHeight="true" outlineLevel="0" collapsed="false">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ustomFormat="false" ht="14.25" hidden="false" customHeight="true" outlineLevel="0" collapsed="false">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ustomFormat="false" ht="14.25" hidden="false" customHeight="true" outlineLevel="0" collapsed="false">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ustomFormat="false" ht="14.25" hidden="false" customHeight="true" outlineLevel="0" collapsed="false">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ustomFormat="false" ht="14.25" hidden="false" customHeight="true" outlineLevel="0" collapsed="false">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ustomFormat="false" ht="14.25" hidden="false" customHeight="true" outlineLevel="0" collapsed="false">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ustomFormat="false" ht="14.25" hidden="false" customHeight="true" outlineLevel="0" collapsed="false">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ustomFormat="false" ht="14.25" hidden="false" customHeight="true" outlineLevel="0" collapsed="false">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ustomFormat="false" ht="14.25" hidden="false" customHeight="true" outlineLevel="0" collapsed="false">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ustomFormat="false" ht="14.25" hidden="false" customHeight="true" outlineLevel="0" collapsed="false">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ustomFormat="false" ht="14.25" hidden="false" customHeight="true" outlineLevel="0" collapsed="false">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ustomFormat="false" ht="14.25" hidden="false" customHeight="true" outlineLevel="0" collapsed="false">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ustomFormat="false" ht="14.25" hidden="false" customHeight="true" outlineLevel="0" collapsed="false">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ustomFormat="false" ht="14.25" hidden="false" customHeight="true" outlineLevel="0" collapsed="false">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ustomFormat="false" ht="14.25" hidden="false" customHeight="true" outlineLevel="0" collapsed="false">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ustomFormat="false" ht="14.25" hidden="false" customHeight="true" outlineLevel="0" collapsed="false">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ustomFormat="false" ht="14.25" hidden="false" customHeight="true" outlineLevel="0" collapsed="false">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ustomFormat="false" ht="14.25" hidden="false" customHeight="true" outlineLevel="0" collapsed="false">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ustomFormat="false" ht="14.25" hidden="false" customHeight="true" outlineLevel="0" collapsed="false">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ustomFormat="false" ht="14.25" hidden="false" customHeight="true" outlineLevel="0" collapsed="false">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ustomFormat="false" ht="14.25" hidden="false" customHeight="true" outlineLevel="0" collapsed="false">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ustomFormat="false" ht="14.25" hidden="false" customHeight="true" outlineLevel="0" collapsed="false">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ustomFormat="false" ht="14.25" hidden="false" customHeight="true" outlineLevel="0" collapsed="false">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ustomFormat="false" ht="14.25" hidden="false" customHeight="true" outlineLevel="0" collapsed="false">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ustomFormat="false" ht="14.25" hidden="false" customHeight="true" outlineLevel="0" collapsed="false">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ustomFormat="false" ht="14.25" hidden="false" customHeight="true" outlineLevel="0" collapsed="false">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ustomFormat="false" ht="14.25" hidden="false" customHeight="true" outlineLevel="0" collapsed="false">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ustomFormat="false" ht="14.25" hidden="false" customHeight="true" outlineLevel="0" collapsed="false">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ustomFormat="false" ht="14.25" hidden="false" customHeight="true" outlineLevel="0" collapsed="false">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ustomFormat="false" ht="14.25" hidden="false" customHeight="true" outlineLevel="0" collapsed="false">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ustomFormat="false" ht="14.25" hidden="false" customHeight="true" outlineLevel="0" collapsed="false">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ustomFormat="false" ht="14.25" hidden="false" customHeight="true" outlineLevel="0" collapsed="false">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ustomFormat="false" ht="14.25" hidden="false" customHeight="true" outlineLevel="0" collapsed="false">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ustomFormat="false" ht="14.25" hidden="false" customHeight="true" outlineLevel="0" collapsed="false">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ustomFormat="false" ht="14.25" hidden="false" customHeight="true" outlineLevel="0" collapsed="false">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ustomFormat="false" ht="14.25" hidden="false" customHeight="true" outlineLevel="0" collapsed="false">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ustomFormat="false" ht="14.25" hidden="false" customHeight="true" outlineLevel="0" collapsed="false">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ustomFormat="false" ht="14.25" hidden="false" customHeight="true" outlineLevel="0" collapsed="false">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ustomFormat="false" ht="14.25" hidden="false" customHeight="true" outlineLevel="0" collapsed="false">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ustomFormat="false" ht="14.25" hidden="false" customHeight="true" outlineLevel="0" collapsed="false">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ustomFormat="false" ht="14.25" hidden="false" customHeight="true" outlineLevel="0" collapsed="false">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ustomFormat="false" ht="14.25" hidden="false" customHeight="true" outlineLevel="0" collapsed="false">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ustomFormat="false" ht="14.25" hidden="false" customHeight="true" outlineLevel="0" collapsed="false">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ustomFormat="false" ht="14.25" hidden="false" customHeight="true" outlineLevel="0" collapsed="false">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ustomFormat="false" ht="14.25" hidden="false" customHeight="true" outlineLevel="0" collapsed="false">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ustomFormat="false" ht="14.25" hidden="false" customHeight="true" outlineLevel="0" collapsed="false">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ustomFormat="false" ht="14.25" hidden="false" customHeight="true" outlineLevel="0" collapsed="false">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ustomFormat="false" ht="14.25" hidden="false" customHeight="true" outlineLevel="0" collapsed="false">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ustomFormat="false" ht="14.25" hidden="false" customHeight="true" outlineLevel="0" collapsed="false">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ustomFormat="false" ht="14.25" hidden="false" customHeight="true" outlineLevel="0" collapsed="false">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ustomFormat="false" ht="14.25" hidden="false" customHeight="true" outlineLevel="0" collapsed="false">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ustomFormat="false" ht="14.25" hidden="false" customHeight="true" outlineLevel="0" collapsed="false">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ustomFormat="false" ht="14.25" hidden="false" customHeight="true" outlineLevel="0" collapsed="false">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ustomFormat="false" ht="14.25" hidden="false" customHeight="true" outlineLevel="0" collapsed="false">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ustomFormat="false" ht="14.25" hidden="false" customHeight="true" outlineLevel="0" collapsed="false">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ustomFormat="false" ht="14.25" hidden="false" customHeight="true" outlineLevel="0" collapsed="false">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ustomFormat="false" ht="14.25" hidden="false" customHeight="true" outlineLevel="0" collapsed="false">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ustomFormat="false" ht="14.25" hidden="false" customHeight="true" outlineLevel="0" collapsed="false">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ustomFormat="false" ht="14.25" hidden="false" customHeight="true" outlineLevel="0" collapsed="false">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ustomFormat="false" ht="14.25" hidden="false" customHeight="true" outlineLevel="0" collapsed="false">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ustomFormat="false" ht="14.25" hidden="false" customHeight="true" outlineLevel="0" collapsed="false">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ustomFormat="false" ht="14.25" hidden="false" customHeight="true" outlineLevel="0" collapsed="false">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ustomFormat="false" ht="14.25" hidden="false" customHeight="true" outlineLevel="0" collapsed="false">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ustomFormat="false" ht="14.25" hidden="false" customHeight="true" outlineLevel="0" collapsed="false">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ustomFormat="false" ht="14.25" hidden="false" customHeight="true" outlineLevel="0" collapsed="false">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ustomFormat="false" ht="14.25" hidden="false" customHeight="true" outlineLevel="0" collapsed="false">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ustomFormat="false" ht="14.25" hidden="false" customHeight="true" outlineLevel="0" collapsed="false">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ustomFormat="false" ht="14.25" hidden="false" customHeight="true" outlineLevel="0" collapsed="false">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ustomFormat="false" ht="14.25" hidden="false" customHeight="true" outlineLevel="0" collapsed="false">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ustomFormat="false" ht="14.25" hidden="false" customHeight="true" outlineLevel="0" collapsed="false">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ustomFormat="false" ht="14.25" hidden="false" customHeight="true" outlineLevel="0" collapsed="false">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ustomFormat="false" ht="14.25" hidden="false" customHeight="true" outlineLevel="0" collapsed="false">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ustomFormat="false" ht="14.25" hidden="false" customHeight="true" outlineLevel="0" collapsed="false">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ustomFormat="false" ht="14.25" hidden="false" customHeight="true" outlineLevel="0" collapsed="false">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ustomFormat="false" ht="14.25" hidden="false" customHeight="true" outlineLevel="0" collapsed="false">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ustomFormat="false" ht="14.25" hidden="false" customHeight="true" outlineLevel="0" collapsed="false">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ustomFormat="false" ht="14.25" hidden="false" customHeight="true" outlineLevel="0" collapsed="false">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ustomFormat="false" ht="14.25" hidden="false" customHeight="true" outlineLevel="0" collapsed="false">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ustomFormat="false" ht="14.25" hidden="false" customHeight="true" outlineLevel="0" collapsed="false">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ustomFormat="false" ht="14.25" hidden="false" customHeight="true" outlineLevel="0" collapsed="false">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ustomFormat="false" ht="14.25" hidden="false" customHeight="true" outlineLevel="0" collapsed="false">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ustomFormat="false" ht="14.25" hidden="false" customHeight="true" outlineLevel="0" collapsed="false">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ustomFormat="false" ht="14.25" hidden="false" customHeight="true" outlineLevel="0" collapsed="false">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ustomFormat="false" ht="14.25" hidden="false" customHeight="true" outlineLevel="0" collapsed="false">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ustomFormat="false" ht="14.25" hidden="false" customHeight="true" outlineLevel="0" collapsed="false">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ustomFormat="false" ht="14.25" hidden="false" customHeight="true" outlineLevel="0" collapsed="false">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ustomFormat="false" ht="14.25" hidden="false" customHeight="true" outlineLevel="0" collapsed="false">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ustomFormat="false" ht="14.25" hidden="false" customHeight="true" outlineLevel="0" collapsed="false">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ustomFormat="false" ht="14.25" hidden="false" customHeight="true" outlineLevel="0" collapsed="false">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ustomFormat="false" ht="14.25" hidden="false" customHeight="true" outlineLevel="0" collapsed="false">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ustomFormat="false" ht="14.25" hidden="false" customHeight="true" outlineLevel="0" collapsed="false">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ustomFormat="false" ht="14.25" hidden="false" customHeight="true" outlineLevel="0" collapsed="false">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ustomFormat="false" ht="14.25" hidden="false" customHeight="true" outlineLevel="0" collapsed="false">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ustomFormat="false" ht="14.25" hidden="false" customHeight="true" outlineLevel="0" collapsed="false">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ustomFormat="false" ht="14.25" hidden="false" customHeight="true" outlineLevel="0" collapsed="false">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ustomFormat="false" ht="14.25" hidden="false" customHeight="true" outlineLevel="0" collapsed="false">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ustomFormat="false" ht="14.25" hidden="false" customHeight="true" outlineLevel="0" collapsed="false">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ustomFormat="false" ht="14.25" hidden="false" customHeight="true" outlineLevel="0" collapsed="false">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ustomFormat="false" ht="14.25" hidden="false" customHeight="true" outlineLevel="0" collapsed="false">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ustomFormat="false" ht="14.25" hidden="false" customHeight="true" outlineLevel="0" collapsed="false">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ustomFormat="false" ht="14.25" hidden="false" customHeight="true" outlineLevel="0" collapsed="false">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ustomFormat="false" ht="14.25" hidden="false" customHeight="true" outlineLevel="0" collapsed="false">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ustomFormat="false" ht="14.25" hidden="false" customHeight="true" outlineLevel="0" collapsed="false">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ustomFormat="false" ht="14.25" hidden="false" customHeight="true" outlineLevel="0" collapsed="false">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ustomFormat="false" ht="14.25" hidden="false" customHeight="true" outlineLevel="0" collapsed="false">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ustomFormat="false" ht="14.25" hidden="false" customHeight="true" outlineLevel="0" collapsed="false">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ustomFormat="false" ht="14.25" hidden="false" customHeight="true" outlineLevel="0" collapsed="false">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ustomFormat="false" ht="14.25" hidden="false" customHeight="true" outlineLevel="0" collapsed="false">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ustomFormat="false" ht="14.25" hidden="false" customHeight="true" outlineLevel="0" collapsed="false">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ustomFormat="false" ht="14.25" hidden="false" customHeight="true" outlineLevel="0" collapsed="false">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ustomFormat="false" ht="14.25" hidden="false" customHeight="true" outlineLevel="0" collapsed="false">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ustomFormat="false" ht="14.25" hidden="false" customHeight="true" outlineLevel="0" collapsed="false">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ustomFormat="false" ht="14.25" hidden="false" customHeight="true" outlineLevel="0" collapsed="false">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ustomFormat="false" ht="14.25" hidden="false" customHeight="true" outlineLevel="0" collapsed="false">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ustomFormat="false" ht="14.25" hidden="false" customHeight="true" outlineLevel="0" collapsed="false">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ustomFormat="false" ht="14.25" hidden="false" customHeight="true" outlineLevel="0" collapsed="false">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ustomFormat="false" ht="14.25" hidden="false" customHeight="true" outlineLevel="0" collapsed="false">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ustomFormat="false" ht="14.25" hidden="false" customHeight="true" outlineLevel="0" collapsed="false">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ustomFormat="false" ht="14.25" hidden="false" customHeight="true" outlineLevel="0" collapsed="false">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ustomFormat="false" ht="14.25" hidden="false" customHeight="true" outlineLevel="0" collapsed="false">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ustomFormat="false" ht="14.25" hidden="false" customHeight="true" outlineLevel="0" collapsed="false">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ustomFormat="false" ht="14.25" hidden="false" customHeight="true" outlineLevel="0" collapsed="false">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ustomFormat="false" ht="14.25" hidden="false" customHeight="true" outlineLevel="0" collapsed="false">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ustomFormat="false" ht="14.25" hidden="false" customHeight="true" outlineLevel="0" collapsed="false">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ustomFormat="false" ht="14.25" hidden="false" customHeight="true" outlineLevel="0" collapsed="false">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ustomFormat="false" ht="14.25" hidden="false" customHeight="true" outlineLevel="0" collapsed="false">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ustomFormat="false" ht="14.25" hidden="false" customHeight="true" outlineLevel="0" collapsed="false">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ustomFormat="false" ht="14.25" hidden="false" customHeight="true" outlineLevel="0" collapsed="false">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ustomFormat="false" ht="14.25" hidden="false" customHeight="true" outlineLevel="0" collapsed="false">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ustomFormat="false" ht="14.25" hidden="false" customHeight="true" outlineLevel="0" collapsed="false">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ustomFormat="false" ht="14.25" hidden="false" customHeight="true" outlineLevel="0" collapsed="false">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ustomFormat="false" ht="14.25" hidden="false" customHeight="true" outlineLevel="0" collapsed="false">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ustomFormat="false" ht="14.25" hidden="false" customHeight="true" outlineLevel="0" collapsed="false">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ustomFormat="false" ht="14.25" hidden="false" customHeight="true" outlineLevel="0" collapsed="false">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ustomFormat="false" ht="14.25" hidden="false" customHeight="true" outlineLevel="0" collapsed="false">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ustomFormat="false" ht="14.25" hidden="false" customHeight="true" outlineLevel="0" collapsed="false">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ustomFormat="false" ht="14.25" hidden="false" customHeight="true" outlineLevel="0" collapsed="false">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ustomFormat="false" ht="14.25" hidden="false" customHeight="true" outlineLevel="0" collapsed="false">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ustomFormat="false" ht="14.25" hidden="false" customHeight="true" outlineLevel="0" collapsed="false">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ustomFormat="false" ht="14.25" hidden="false" customHeight="true" outlineLevel="0" collapsed="false">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ustomFormat="false" ht="14.25" hidden="false" customHeight="true" outlineLevel="0" collapsed="false">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ustomFormat="false" ht="14.25" hidden="false" customHeight="true" outlineLevel="0" collapsed="false">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ustomFormat="false" ht="14.25" hidden="false" customHeight="true" outlineLevel="0" collapsed="false">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ustomFormat="false" ht="14.25" hidden="false" customHeight="true" outlineLevel="0" collapsed="false">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ustomFormat="false" ht="14.25" hidden="false" customHeight="true" outlineLevel="0" collapsed="false">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ustomFormat="false" ht="14.25" hidden="false" customHeight="true" outlineLevel="0" collapsed="false">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ustomFormat="false" ht="14.25" hidden="false" customHeight="true" outlineLevel="0" collapsed="false">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ustomFormat="false" ht="14.25" hidden="false" customHeight="true" outlineLevel="0" collapsed="false">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ustomFormat="false" ht="14.25" hidden="false" customHeight="true" outlineLevel="0" collapsed="false">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ustomFormat="false" ht="14.25" hidden="false" customHeight="true" outlineLevel="0" collapsed="false">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ustomFormat="false" ht="14.25" hidden="false" customHeight="true" outlineLevel="0" collapsed="false">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ustomFormat="false" ht="14.25" hidden="false" customHeight="true" outlineLevel="0" collapsed="false">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ustomFormat="false" ht="14.25" hidden="false" customHeight="true" outlineLevel="0" collapsed="false">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ustomFormat="false" ht="14.25" hidden="false" customHeight="true" outlineLevel="0" collapsed="false">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ustomFormat="false" ht="14.25" hidden="false" customHeight="true" outlineLevel="0" collapsed="false">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ustomFormat="false" ht="14.25" hidden="false" customHeight="true" outlineLevel="0" collapsed="false">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ustomFormat="false" ht="14.25" hidden="false" customHeight="true" outlineLevel="0" collapsed="false">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ustomFormat="false" ht="14.25" hidden="false" customHeight="true" outlineLevel="0" collapsed="false">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ustomFormat="false" ht="14.25" hidden="false" customHeight="true" outlineLevel="0" collapsed="false">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ustomFormat="false" ht="14.25" hidden="false" customHeight="true" outlineLevel="0" collapsed="false">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ustomFormat="false" ht="14.25" hidden="false" customHeight="true" outlineLevel="0" collapsed="false">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ustomFormat="false" ht="14.25" hidden="false" customHeight="true" outlineLevel="0" collapsed="false">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ustomFormat="false" ht="14.25" hidden="false" customHeight="true" outlineLevel="0" collapsed="false">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ustomFormat="false" ht="14.25" hidden="false" customHeight="true" outlineLevel="0" collapsed="false">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ustomFormat="false" ht="14.25" hidden="false" customHeight="true" outlineLevel="0" collapsed="false">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ustomFormat="false" ht="14.25" hidden="false" customHeight="true" outlineLevel="0" collapsed="false">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ustomFormat="false" ht="14.25" hidden="false" customHeight="true" outlineLevel="0" collapsed="false">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ustomFormat="false" ht="14.25" hidden="false" customHeight="true" outlineLevel="0" collapsed="false">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ustomFormat="false" ht="14.25" hidden="false" customHeight="true" outlineLevel="0" collapsed="false">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ustomFormat="false" ht="14.25" hidden="false" customHeight="true" outlineLevel="0" collapsed="false">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ustomFormat="false" ht="14.25" hidden="false" customHeight="true" outlineLevel="0" collapsed="false">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ustomFormat="false" ht="14.25" hidden="false" customHeight="true" outlineLevel="0" collapsed="false">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ustomFormat="false" ht="14.25" hidden="false" customHeight="true" outlineLevel="0" collapsed="false">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ustomFormat="false" ht="14.25" hidden="false" customHeight="true" outlineLevel="0" collapsed="false">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ustomFormat="false" ht="14.25" hidden="false" customHeight="true" outlineLevel="0" collapsed="false">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ustomFormat="false" ht="14.25" hidden="false" customHeight="true" outlineLevel="0" collapsed="false">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ustomFormat="false" ht="14.25" hidden="false" customHeight="true" outlineLevel="0" collapsed="false">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ustomFormat="false" ht="14.25" hidden="false" customHeight="true" outlineLevel="0" collapsed="false">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ustomFormat="false" ht="14.25" hidden="false" customHeight="true" outlineLevel="0" collapsed="false">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ustomFormat="false" ht="14.25" hidden="false" customHeight="true" outlineLevel="0" collapsed="false">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ustomFormat="false" ht="14.25" hidden="false" customHeight="true" outlineLevel="0" collapsed="false">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ustomFormat="false" ht="14.25" hidden="false" customHeight="true" outlineLevel="0" collapsed="false">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ustomFormat="false" ht="14.25" hidden="false" customHeight="true" outlineLevel="0" collapsed="false">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ustomFormat="false" ht="14.25" hidden="false" customHeight="true" outlineLevel="0" collapsed="false">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ustomFormat="false" ht="14.25" hidden="false" customHeight="true" outlineLevel="0" collapsed="false">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ustomFormat="false" ht="14.25" hidden="false" customHeight="true" outlineLevel="0" collapsed="false">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ustomFormat="false" ht="14.25" hidden="false" customHeight="true" outlineLevel="0" collapsed="false">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ustomFormat="false" ht="14.25" hidden="false" customHeight="true" outlineLevel="0" collapsed="false">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ustomFormat="false" ht="14.25" hidden="false" customHeight="true" outlineLevel="0" collapsed="false">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ustomFormat="false" ht="14.25" hidden="false" customHeight="true" outlineLevel="0" collapsed="false">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ustomFormat="false" ht="14.25" hidden="false" customHeight="true" outlineLevel="0" collapsed="false">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ustomFormat="false" ht="14.25" hidden="false" customHeight="true" outlineLevel="0" collapsed="false">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ustomFormat="false" ht="14.25" hidden="false" customHeight="true" outlineLevel="0" collapsed="false">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ustomFormat="false" ht="14.25" hidden="false" customHeight="true" outlineLevel="0" collapsed="false">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ustomFormat="false" ht="14.25" hidden="false" customHeight="true" outlineLevel="0" collapsed="false">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ustomFormat="false" ht="14.25" hidden="false" customHeight="true" outlineLevel="0" collapsed="false">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ustomFormat="false" ht="14.25" hidden="false" customHeight="true" outlineLevel="0" collapsed="false">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ustomFormat="false" ht="14.25" hidden="false" customHeight="true" outlineLevel="0" collapsed="false">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ustomFormat="false" ht="14.25" hidden="false" customHeight="true" outlineLevel="0" collapsed="false">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ustomFormat="false" ht="14.25" hidden="false" customHeight="true" outlineLevel="0" collapsed="false">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ustomFormat="false" ht="14.25" hidden="false" customHeight="true" outlineLevel="0" collapsed="false">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ustomFormat="false" ht="14.25" hidden="false" customHeight="true" outlineLevel="0" collapsed="false">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ustomFormat="false" ht="14.25" hidden="false" customHeight="true" outlineLevel="0" collapsed="false">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ustomFormat="false" ht="14.25" hidden="false" customHeight="true" outlineLevel="0" collapsed="false">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ustomFormat="false" ht="14.25" hidden="false" customHeight="true" outlineLevel="0" collapsed="false">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ustomFormat="false" ht="14.25" hidden="false" customHeight="true" outlineLevel="0" collapsed="false">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ustomFormat="false" ht="14.25" hidden="false" customHeight="true" outlineLevel="0" collapsed="false">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ustomFormat="false" ht="14.25" hidden="false" customHeight="true" outlineLevel="0" collapsed="false">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ustomFormat="false" ht="14.25" hidden="false" customHeight="true" outlineLevel="0" collapsed="false">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ustomFormat="false" ht="14.25" hidden="false" customHeight="true" outlineLevel="0" collapsed="false">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ustomFormat="false" ht="14.25" hidden="false" customHeight="true" outlineLevel="0" collapsed="false">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ustomFormat="false" ht="14.25" hidden="false" customHeight="true" outlineLevel="0" collapsed="false">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ustomFormat="false" ht="14.25" hidden="false" customHeight="true" outlineLevel="0" collapsed="false">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ustomFormat="false" ht="14.25" hidden="false" customHeight="true" outlineLevel="0" collapsed="false">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ustomFormat="false" ht="14.25" hidden="false" customHeight="true" outlineLevel="0" collapsed="false">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ustomFormat="false" ht="14.25" hidden="false" customHeight="true" outlineLevel="0" collapsed="false">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ustomFormat="false" ht="14.25" hidden="false" customHeight="true" outlineLevel="0" collapsed="false">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ustomFormat="false" ht="14.25" hidden="false" customHeight="true" outlineLevel="0" collapsed="false">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ustomFormat="false" ht="14.25" hidden="false" customHeight="true" outlineLevel="0" collapsed="false">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ustomFormat="false" ht="14.25" hidden="false" customHeight="true" outlineLevel="0" collapsed="false">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ustomFormat="false" ht="14.25" hidden="false" customHeight="true" outlineLevel="0" collapsed="false">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ustomFormat="false" ht="14.25" hidden="false" customHeight="true" outlineLevel="0" collapsed="false">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ustomFormat="false" ht="14.25" hidden="false" customHeight="true" outlineLevel="0" collapsed="false">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ustomFormat="false" ht="14.25" hidden="false" customHeight="true" outlineLevel="0" collapsed="false">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ustomFormat="false" ht="14.25" hidden="false" customHeight="true" outlineLevel="0" collapsed="false">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ustomFormat="false" ht="14.25" hidden="false" customHeight="true" outlineLevel="0" collapsed="false">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ustomFormat="false" ht="14.25" hidden="false" customHeight="true" outlineLevel="0" collapsed="false">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ustomFormat="false" ht="14.25" hidden="false" customHeight="true" outlineLevel="0" collapsed="false">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ustomFormat="false" ht="14.25" hidden="false" customHeight="true" outlineLevel="0" collapsed="false">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ustomFormat="false" ht="14.25" hidden="false" customHeight="true" outlineLevel="0" collapsed="false">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ustomFormat="false" ht="14.25" hidden="false" customHeight="true" outlineLevel="0" collapsed="false">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ustomFormat="false" ht="14.25" hidden="false" customHeight="true" outlineLevel="0" collapsed="false">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ustomFormat="false" ht="14.25" hidden="false" customHeight="true" outlineLevel="0" collapsed="false">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ustomFormat="false" ht="14.25" hidden="false" customHeight="true" outlineLevel="0" collapsed="false">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ustomFormat="false" ht="14.25" hidden="false" customHeight="true" outlineLevel="0" collapsed="false">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ustomFormat="false" ht="14.25" hidden="false" customHeight="true" outlineLevel="0" collapsed="false">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ustomFormat="false" ht="14.25" hidden="false" customHeight="true" outlineLevel="0" collapsed="false">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ustomFormat="false" ht="14.25" hidden="false" customHeight="true" outlineLevel="0" collapsed="false">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ustomFormat="false" ht="14.25" hidden="false" customHeight="true" outlineLevel="0" collapsed="false">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ustomFormat="false" ht="14.25" hidden="false" customHeight="true" outlineLevel="0" collapsed="false">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ustomFormat="false" ht="14.25" hidden="false" customHeight="true" outlineLevel="0" collapsed="false">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ustomFormat="false" ht="14.25" hidden="false" customHeight="true" outlineLevel="0" collapsed="false">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ustomFormat="false" ht="14.25" hidden="false" customHeight="true" outlineLevel="0" collapsed="false">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ustomFormat="false" ht="14.25" hidden="false" customHeight="true" outlineLevel="0" collapsed="false">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ustomFormat="false" ht="14.25" hidden="false" customHeight="true" outlineLevel="0" collapsed="false">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ustomFormat="false" ht="14.25" hidden="false" customHeight="true" outlineLevel="0" collapsed="false">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ustomFormat="false" ht="14.25" hidden="false" customHeight="true" outlineLevel="0" collapsed="false">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ustomFormat="false" ht="14.25" hidden="false" customHeight="true" outlineLevel="0" collapsed="false">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ustomFormat="false" ht="14.25" hidden="false" customHeight="true" outlineLevel="0" collapsed="false">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ustomFormat="false" ht="14.25" hidden="false" customHeight="true" outlineLevel="0" collapsed="false">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ustomFormat="false" ht="14.25" hidden="false" customHeight="true" outlineLevel="0" collapsed="false">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ustomFormat="false" ht="14.25" hidden="false" customHeight="true" outlineLevel="0" collapsed="false">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ustomFormat="false" ht="14.25" hidden="false" customHeight="true" outlineLevel="0" collapsed="false">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ustomFormat="false" ht="14.25" hidden="false" customHeight="true" outlineLevel="0" collapsed="false">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ustomFormat="false" ht="14.25" hidden="false" customHeight="true" outlineLevel="0" collapsed="false">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ustomFormat="false" ht="14.25" hidden="false" customHeight="true" outlineLevel="0" collapsed="false">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ustomFormat="false" ht="14.25" hidden="false" customHeight="true" outlineLevel="0" collapsed="false">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ustomFormat="false" ht="14.25" hidden="false" customHeight="true" outlineLevel="0" collapsed="false">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ustomFormat="false" ht="14.25" hidden="false" customHeight="true" outlineLevel="0" collapsed="false">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ustomFormat="false" ht="14.25" hidden="false" customHeight="true" outlineLevel="0" collapsed="false">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ustomFormat="false" ht="14.25" hidden="false" customHeight="true" outlineLevel="0" collapsed="false">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ustomFormat="false" ht="14.25" hidden="false" customHeight="true" outlineLevel="0" collapsed="false">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ustomFormat="false" ht="14.25" hidden="false" customHeight="true" outlineLevel="0" collapsed="false">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ustomFormat="false" ht="14.25" hidden="false" customHeight="true" outlineLevel="0" collapsed="false">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ustomFormat="false" ht="14.25" hidden="false" customHeight="true" outlineLevel="0" collapsed="false">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ustomFormat="false" ht="14.25" hidden="false" customHeight="true" outlineLevel="0" collapsed="false">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ustomFormat="false" ht="14.25" hidden="false" customHeight="true" outlineLevel="0" collapsed="false">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ustomFormat="false" ht="14.25" hidden="false" customHeight="true" outlineLevel="0" collapsed="false">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ustomFormat="false" ht="14.25" hidden="false" customHeight="true" outlineLevel="0" collapsed="false">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ustomFormat="false" ht="14.25" hidden="false" customHeight="true" outlineLevel="0" collapsed="false">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ustomFormat="false" ht="14.25" hidden="false" customHeight="true" outlineLevel="0" collapsed="false">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ustomFormat="false" ht="14.25" hidden="false" customHeight="true" outlineLevel="0" collapsed="false">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ustomFormat="false" ht="14.25" hidden="false" customHeight="true" outlineLevel="0" collapsed="false">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ustomFormat="false" ht="14.25" hidden="false" customHeight="true" outlineLevel="0" collapsed="false">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ustomFormat="false" ht="14.25" hidden="false" customHeight="true" outlineLevel="0" collapsed="false">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ustomFormat="false" ht="14.25" hidden="false" customHeight="true" outlineLevel="0" collapsed="false">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ustomFormat="false" ht="14.25" hidden="false" customHeight="true" outlineLevel="0" collapsed="false">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ustomFormat="false" ht="14.25" hidden="false" customHeight="true" outlineLevel="0" collapsed="false">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ustomFormat="false" ht="14.25" hidden="false" customHeight="true" outlineLevel="0" collapsed="false">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ustomFormat="false" ht="14.25" hidden="false" customHeight="true" outlineLevel="0" collapsed="false">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ustomFormat="false" ht="14.25" hidden="false" customHeight="true" outlineLevel="0" collapsed="false">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ustomFormat="false" ht="14.25" hidden="false" customHeight="true" outlineLevel="0" collapsed="false">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ustomFormat="false" ht="14.25" hidden="false" customHeight="true" outlineLevel="0" collapsed="false">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ustomFormat="false" ht="14.25" hidden="false" customHeight="true" outlineLevel="0" collapsed="false">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ustomFormat="false" ht="14.25" hidden="false" customHeight="true" outlineLevel="0" collapsed="false">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ustomFormat="false" ht="14.25" hidden="false" customHeight="true" outlineLevel="0" collapsed="false">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ustomFormat="false" ht="14.25" hidden="false" customHeight="true" outlineLevel="0" collapsed="false">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ustomFormat="false" ht="14.25" hidden="false" customHeight="true" outlineLevel="0" collapsed="false">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ustomFormat="false" ht="14.25" hidden="false" customHeight="true" outlineLevel="0" collapsed="false">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ustomFormat="false" ht="14.25" hidden="false" customHeight="true" outlineLevel="0" collapsed="false">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ustomFormat="false" ht="14.25" hidden="false" customHeight="true" outlineLevel="0" collapsed="false">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ustomFormat="false" ht="14.25" hidden="false" customHeight="true" outlineLevel="0" collapsed="false">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ustomFormat="false" ht="14.25" hidden="false" customHeight="true" outlineLevel="0" collapsed="false">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ustomFormat="false" ht="14.25" hidden="false" customHeight="true" outlineLevel="0" collapsed="false">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ustomFormat="false" ht="14.25" hidden="false" customHeight="true" outlineLevel="0" collapsed="false">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ustomFormat="false" ht="14.25" hidden="false" customHeight="true" outlineLevel="0" collapsed="false">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ustomFormat="false" ht="14.25" hidden="false" customHeight="true" outlineLevel="0" collapsed="false">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ustomFormat="false" ht="14.25" hidden="false" customHeight="true" outlineLevel="0" collapsed="false">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ustomFormat="false" ht="14.25" hidden="false" customHeight="true" outlineLevel="0" collapsed="false">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ustomFormat="false" ht="14.25" hidden="false" customHeight="true" outlineLevel="0" collapsed="false">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ustomFormat="false" ht="14.25" hidden="false" customHeight="true" outlineLevel="0" collapsed="false">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ustomFormat="false" ht="14.25" hidden="false" customHeight="true" outlineLevel="0" collapsed="false">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ustomFormat="false" ht="14.25" hidden="false" customHeight="true" outlineLevel="0" collapsed="false">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ustomFormat="false" ht="14.25" hidden="false" customHeight="true" outlineLevel="0" collapsed="false">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ustomFormat="false" ht="14.25" hidden="false" customHeight="true" outlineLevel="0" collapsed="false">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ustomFormat="false" ht="14.25" hidden="false" customHeight="true" outlineLevel="0" collapsed="false">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ustomFormat="false" ht="14.25" hidden="false" customHeight="true" outlineLevel="0" collapsed="false">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ustomFormat="false" ht="14.25" hidden="false" customHeight="true" outlineLevel="0" collapsed="false">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ustomFormat="false" ht="14.25" hidden="false" customHeight="true" outlineLevel="0" collapsed="false">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ustomFormat="false" ht="14.25" hidden="false" customHeight="true" outlineLevel="0" collapsed="false">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ustomFormat="false" ht="14.25" hidden="false" customHeight="true" outlineLevel="0" collapsed="false">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ustomFormat="false" ht="14.25" hidden="false" customHeight="true" outlineLevel="0" collapsed="false">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ustomFormat="false" ht="14.25" hidden="false" customHeight="true" outlineLevel="0" collapsed="false">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ustomFormat="false" ht="14.25" hidden="false" customHeight="true" outlineLevel="0" collapsed="false">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ustomFormat="false" ht="14.25" hidden="false" customHeight="true" outlineLevel="0" collapsed="false">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ustomFormat="false" ht="14.25" hidden="false" customHeight="true" outlineLevel="0" collapsed="false">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ustomFormat="false" ht="14.25" hidden="false" customHeight="true" outlineLevel="0" collapsed="false">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ustomFormat="false" ht="14.25" hidden="false" customHeight="true" outlineLevel="0" collapsed="false">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ustomFormat="false" ht="14.25" hidden="false" customHeight="true" outlineLevel="0" collapsed="false">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ustomFormat="false" ht="14.25" hidden="false" customHeight="true" outlineLevel="0" collapsed="false">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ustomFormat="false" ht="14.25" hidden="false" customHeight="true" outlineLevel="0" collapsed="false">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ustomFormat="false" ht="14.25" hidden="false" customHeight="true" outlineLevel="0" collapsed="false">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ustomFormat="false" ht="14.25" hidden="false" customHeight="true" outlineLevel="0" collapsed="false">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ustomFormat="false" ht="14.25" hidden="false" customHeight="true" outlineLevel="0" collapsed="false">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ustomFormat="false" ht="14.25" hidden="false" customHeight="true" outlineLevel="0" collapsed="false">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ustomFormat="false" ht="14.25" hidden="false" customHeight="true" outlineLevel="0" collapsed="false">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ustomFormat="false" ht="14.25" hidden="false" customHeight="true" outlineLevel="0" collapsed="false">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ustomFormat="false" ht="14.25" hidden="false" customHeight="true" outlineLevel="0" collapsed="false">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ustomFormat="false" ht="14.25" hidden="false" customHeight="true" outlineLevel="0" collapsed="false">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ustomFormat="false" ht="14.25" hidden="false" customHeight="true" outlineLevel="0" collapsed="false">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ustomFormat="false" ht="14.25" hidden="false" customHeight="true" outlineLevel="0" collapsed="false">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ustomFormat="false" ht="14.25" hidden="false" customHeight="true" outlineLevel="0" collapsed="false">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ustomFormat="false" ht="14.25" hidden="false" customHeight="true" outlineLevel="0" collapsed="false">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ustomFormat="false" ht="14.25" hidden="false" customHeight="true" outlineLevel="0" collapsed="false">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ustomFormat="false" ht="14.25" hidden="false" customHeight="true" outlineLevel="0" collapsed="false">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ustomFormat="false" ht="14.25" hidden="false" customHeight="true" outlineLevel="0" collapsed="false">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ustomFormat="false" ht="14.25" hidden="false" customHeight="true" outlineLevel="0" collapsed="false">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ustomFormat="false" ht="14.25" hidden="false" customHeight="true" outlineLevel="0" collapsed="false">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ustomFormat="false" ht="14.25" hidden="false" customHeight="true" outlineLevel="0" collapsed="false">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ustomFormat="false" ht="14.25" hidden="false" customHeight="true" outlineLevel="0" collapsed="false">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ustomFormat="false" ht="14.25" hidden="false" customHeight="true" outlineLevel="0" collapsed="false">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ustomFormat="false" ht="14.25" hidden="false" customHeight="true" outlineLevel="0" collapsed="false">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ustomFormat="false" ht="14.25" hidden="false" customHeight="true" outlineLevel="0" collapsed="false">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ustomFormat="false" ht="14.25" hidden="false" customHeight="true" outlineLevel="0" collapsed="false">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ustomFormat="false" ht="14.25" hidden="false" customHeight="true" outlineLevel="0" collapsed="false">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ustomFormat="false" ht="14.25" hidden="false" customHeight="true" outlineLevel="0" collapsed="false">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ustomFormat="false" ht="14.25" hidden="false" customHeight="true" outlineLevel="0" collapsed="false">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ustomFormat="false" ht="14.25" hidden="false" customHeight="true" outlineLevel="0" collapsed="false">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ustomFormat="false" ht="14.25" hidden="false" customHeight="true" outlineLevel="0" collapsed="false">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ustomFormat="false" ht="14.25" hidden="false" customHeight="true" outlineLevel="0" collapsed="false">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ustomFormat="false" ht="14.25" hidden="false" customHeight="true" outlineLevel="0" collapsed="false">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ustomFormat="false" ht="14.25" hidden="false" customHeight="true" outlineLevel="0" collapsed="false">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ustomFormat="false" ht="14.25" hidden="false" customHeight="true" outlineLevel="0" collapsed="false">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ustomFormat="false" ht="14.25" hidden="false" customHeight="true" outlineLevel="0" collapsed="false">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ustomFormat="false" ht="14.25" hidden="false" customHeight="true" outlineLevel="0" collapsed="false">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ustomFormat="false" ht="14.25" hidden="false" customHeight="true" outlineLevel="0" collapsed="false">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ustomFormat="false" ht="14.25" hidden="false" customHeight="true" outlineLevel="0" collapsed="false">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ustomFormat="false" ht="14.25" hidden="false" customHeight="true" outlineLevel="0" collapsed="false">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ustomFormat="false" ht="14.25" hidden="false" customHeight="true" outlineLevel="0" collapsed="false">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ustomFormat="false" ht="14.25" hidden="false" customHeight="true" outlineLevel="0" collapsed="false">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ustomFormat="false" ht="14.25" hidden="false" customHeight="true" outlineLevel="0" collapsed="false">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ustomFormat="false" ht="14.25" hidden="false" customHeight="true" outlineLevel="0" collapsed="false">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ustomFormat="false" ht="14.25" hidden="false" customHeight="true" outlineLevel="0" collapsed="false">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ustomFormat="false" ht="14.25" hidden="false" customHeight="true" outlineLevel="0" collapsed="false">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ustomFormat="false" ht="14.25" hidden="false" customHeight="true" outlineLevel="0" collapsed="false">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ustomFormat="false" ht="14.25" hidden="false" customHeight="true" outlineLevel="0" collapsed="false">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ustomFormat="false" ht="14.25" hidden="false" customHeight="true" outlineLevel="0" collapsed="false">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ustomFormat="false" ht="14.25" hidden="false" customHeight="true" outlineLevel="0" collapsed="false">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ustomFormat="false" ht="14.25" hidden="false" customHeight="true" outlineLevel="0" collapsed="false">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ustomFormat="false" ht="14.25" hidden="false" customHeight="true" outlineLevel="0" collapsed="false">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ustomFormat="false" ht="14.25" hidden="false" customHeight="true" outlineLevel="0" collapsed="false">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ustomFormat="false" ht="14.25" hidden="false" customHeight="true" outlineLevel="0" collapsed="false">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ustomFormat="false" ht="14.25" hidden="false" customHeight="true" outlineLevel="0" collapsed="false">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ustomFormat="false" ht="14.25" hidden="false" customHeight="true" outlineLevel="0" collapsed="false">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ustomFormat="false" ht="14.25" hidden="false" customHeight="true" outlineLevel="0" collapsed="false">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ustomFormat="false" ht="14.25" hidden="false" customHeight="true" outlineLevel="0" collapsed="false">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ustomFormat="false" ht="14.25" hidden="false" customHeight="true" outlineLevel="0" collapsed="false">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ustomFormat="false" ht="14.25" hidden="false" customHeight="true" outlineLevel="0" collapsed="false">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ustomFormat="false" ht="14.25" hidden="false" customHeight="true" outlineLevel="0" collapsed="false">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ustomFormat="false" ht="14.25" hidden="false" customHeight="true" outlineLevel="0" collapsed="false">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ustomFormat="false" ht="14.25" hidden="false" customHeight="true" outlineLevel="0" collapsed="false">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ustomFormat="false" ht="14.25" hidden="false" customHeight="true" outlineLevel="0" collapsed="false">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ustomFormat="false" ht="14.25" hidden="false" customHeight="true" outlineLevel="0" collapsed="false">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ustomFormat="false" ht="14.25" hidden="false" customHeight="true" outlineLevel="0" collapsed="false">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ustomFormat="false" ht="14.25" hidden="false" customHeight="true" outlineLevel="0" collapsed="false">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ustomFormat="false" ht="14.25" hidden="false" customHeight="true" outlineLevel="0" collapsed="false">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ustomFormat="false" ht="14.25" hidden="false" customHeight="true" outlineLevel="0" collapsed="false">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ustomFormat="false" ht="14.25" hidden="false" customHeight="true" outlineLevel="0" collapsed="false">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ustomFormat="false" ht="14.25" hidden="false" customHeight="true" outlineLevel="0" collapsed="false">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ustomFormat="false" ht="14.25" hidden="false" customHeight="true" outlineLevel="0" collapsed="false">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ustomFormat="false" ht="14.25" hidden="false" customHeight="true" outlineLevel="0" collapsed="false">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ustomFormat="false" ht="14.25" hidden="false" customHeight="true" outlineLevel="0" collapsed="false">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ustomFormat="false" ht="14.25" hidden="false" customHeight="true" outlineLevel="0" collapsed="false">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ustomFormat="false" ht="14.25" hidden="false" customHeight="true" outlineLevel="0" collapsed="false">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ustomFormat="false" ht="14.25" hidden="false" customHeight="true" outlineLevel="0" collapsed="false">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ustomFormat="false" ht="14.25" hidden="false" customHeight="true" outlineLevel="0" collapsed="false">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ustomFormat="false" ht="14.25" hidden="false" customHeight="true" outlineLevel="0" collapsed="false">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ustomFormat="false" ht="14.25" hidden="false" customHeight="true" outlineLevel="0" collapsed="false">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ustomFormat="false" ht="14.25" hidden="false" customHeight="true" outlineLevel="0" collapsed="false">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ustomFormat="false" ht="14.25" hidden="false" customHeight="true" outlineLevel="0" collapsed="false">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ustomFormat="false" ht="14.25" hidden="false" customHeight="true" outlineLevel="0" collapsed="false">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ustomFormat="false" ht="14.25" hidden="false" customHeight="true" outlineLevel="0" collapsed="false">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ustomFormat="false" ht="14.25" hidden="false" customHeight="true" outlineLevel="0" collapsed="false">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ustomFormat="false" ht="14.25" hidden="false" customHeight="true" outlineLevel="0" collapsed="false">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ustomFormat="false" ht="14.25" hidden="false" customHeight="true" outlineLevel="0" collapsed="false">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ustomFormat="false" ht="14.25" hidden="false" customHeight="true" outlineLevel="0" collapsed="false">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ustomFormat="false" ht="14.25" hidden="false" customHeight="true" outlineLevel="0" collapsed="false">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ustomFormat="false" ht="14.25" hidden="false" customHeight="true" outlineLevel="0" collapsed="false">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ustomFormat="false" ht="14.25" hidden="false" customHeight="true" outlineLevel="0" collapsed="false">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ustomFormat="false" ht="14.25" hidden="false" customHeight="true" outlineLevel="0" collapsed="false">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ustomFormat="false" ht="14.25" hidden="false" customHeight="true" outlineLevel="0" collapsed="false">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ustomFormat="false" ht="14.25" hidden="false" customHeight="true" outlineLevel="0" collapsed="false">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ustomFormat="false" ht="14.25" hidden="false" customHeight="true" outlineLevel="0" collapsed="false">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ustomFormat="false" ht="14.25" hidden="false" customHeight="true" outlineLevel="0" collapsed="false">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ustomFormat="false" ht="14.25" hidden="false" customHeight="true" outlineLevel="0" collapsed="false">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ustomFormat="false" ht="14.25" hidden="false" customHeight="true" outlineLevel="0" collapsed="false">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ustomFormat="false" ht="14.25" hidden="false" customHeight="true" outlineLevel="0" collapsed="false">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ustomFormat="false" ht="14.25" hidden="false" customHeight="true" outlineLevel="0" collapsed="false">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ustomFormat="false" ht="14.25" hidden="false" customHeight="true" outlineLevel="0" collapsed="false">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ustomFormat="false" ht="14.25" hidden="false" customHeight="true" outlineLevel="0" collapsed="false">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ustomFormat="false" ht="14.25" hidden="false" customHeight="true" outlineLevel="0" collapsed="false">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ustomFormat="false" ht="14.25" hidden="false" customHeight="true" outlineLevel="0" collapsed="false">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ustomFormat="false" ht="14.25" hidden="false" customHeight="true" outlineLevel="0" collapsed="false">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ustomFormat="false" ht="14.25" hidden="false" customHeight="true" outlineLevel="0" collapsed="false">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ustomFormat="false" ht="14.25" hidden="false" customHeight="true" outlineLevel="0" collapsed="false">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ustomFormat="false" ht="14.25" hidden="false" customHeight="true" outlineLevel="0" collapsed="false">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ustomFormat="false" ht="14.25" hidden="false" customHeight="true" outlineLevel="0" collapsed="false">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ustomFormat="false" ht="14.25" hidden="false" customHeight="true" outlineLevel="0" collapsed="false">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ustomFormat="false" ht="14.25" hidden="false" customHeight="true" outlineLevel="0" collapsed="false">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ustomFormat="false" ht="14.25" hidden="false" customHeight="true" outlineLevel="0" collapsed="false">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ustomFormat="false" ht="14.25" hidden="false" customHeight="true" outlineLevel="0" collapsed="false">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ustomFormat="false" ht="14.25" hidden="false" customHeight="true" outlineLevel="0" collapsed="false">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ustomFormat="false" ht="14.25" hidden="false" customHeight="true" outlineLevel="0" collapsed="false">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ustomFormat="false" ht="14.25" hidden="false" customHeight="true" outlineLevel="0" collapsed="false">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ustomFormat="false" ht="14.25" hidden="false" customHeight="true" outlineLevel="0" collapsed="false">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ustomFormat="false" ht="14.25" hidden="false" customHeight="true" outlineLevel="0" collapsed="false">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ustomFormat="false" ht="14.25" hidden="false" customHeight="true" outlineLevel="0" collapsed="false">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ustomFormat="false" ht="14.25" hidden="false" customHeight="true" outlineLevel="0" collapsed="false">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ustomFormat="false" ht="14.25" hidden="false" customHeight="true" outlineLevel="0" collapsed="false">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ustomFormat="false" ht="14.25" hidden="false" customHeight="true" outlineLevel="0" collapsed="false">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ustomFormat="false" ht="14.25" hidden="false" customHeight="true" outlineLevel="0" collapsed="false">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ustomFormat="false" ht="14.25" hidden="false" customHeight="true" outlineLevel="0" collapsed="false">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ustomFormat="false" ht="14.25" hidden="false" customHeight="true" outlineLevel="0" collapsed="false">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ustomFormat="false" ht="14.25" hidden="false" customHeight="true" outlineLevel="0" collapsed="false">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ustomFormat="false" ht="14.25" hidden="false" customHeight="true" outlineLevel="0" collapsed="false">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ustomFormat="false" ht="14.25" hidden="false" customHeight="true" outlineLevel="0" collapsed="false">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ustomFormat="false" ht="14.25" hidden="false" customHeight="true" outlineLevel="0" collapsed="false">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ustomFormat="false" ht="14.25" hidden="false" customHeight="true" outlineLevel="0" collapsed="false">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ustomFormat="false" ht="14.25" hidden="false" customHeight="true" outlineLevel="0" collapsed="false">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ustomFormat="false" ht="14.25" hidden="false" customHeight="true" outlineLevel="0" collapsed="false">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ustomFormat="false" ht="14.25" hidden="false" customHeight="true" outlineLevel="0" collapsed="false">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ustomFormat="false" ht="14.25" hidden="false" customHeight="true" outlineLevel="0" collapsed="false">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ustomFormat="false" ht="14.25" hidden="false" customHeight="true" outlineLevel="0" collapsed="false">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ustomFormat="false" ht="14.25" hidden="false" customHeight="true" outlineLevel="0" collapsed="false">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ustomFormat="false" ht="14.25" hidden="false" customHeight="true" outlineLevel="0" collapsed="false">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ustomFormat="false" ht="14.25" hidden="false" customHeight="true" outlineLevel="0" collapsed="false">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ustomFormat="false" ht="14.25" hidden="false" customHeight="true" outlineLevel="0" collapsed="false">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ustomFormat="false" ht="14.25" hidden="false" customHeight="true" outlineLevel="0" collapsed="false">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ustomFormat="false" ht="14.25" hidden="false" customHeight="true" outlineLevel="0" collapsed="false">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ustomFormat="false" ht="14.25" hidden="false" customHeight="true" outlineLevel="0" collapsed="false">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ustomFormat="false" ht="14.25" hidden="false" customHeight="true" outlineLevel="0" collapsed="false">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ustomFormat="false" ht="14.25" hidden="false" customHeight="true" outlineLevel="0" collapsed="false">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ustomFormat="false" ht="14.25" hidden="false" customHeight="true" outlineLevel="0" collapsed="false">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ustomFormat="false" ht="14.25" hidden="false" customHeight="true" outlineLevel="0" collapsed="false">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ustomFormat="false" ht="14.25" hidden="false" customHeight="true" outlineLevel="0" collapsed="false">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ustomFormat="false" ht="14.25" hidden="false" customHeight="true" outlineLevel="0" collapsed="false">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ustomFormat="false" ht="14.25" hidden="false" customHeight="true" outlineLevel="0" collapsed="false">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ustomFormat="false" ht="14.25" hidden="false" customHeight="true" outlineLevel="0" collapsed="false">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ustomFormat="false" ht="14.25" hidden="false" customHeight="true" outlineLevel="0" collapsed="false">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ustomFormat="false" ht="14.25" hidden="false" customHeight="true" outlineLevel="0" collapsed="false">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ustomFormat="false" ht="14.25" hidden="false" customHeight="true" outlineLevel="0" collapsed="false">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ustomFormat="false" ht="14.25" hidden="false" customHeight="true" outlineLevel="0" collapsed="false">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ustomFormat="false" ht="14.25" hidden="false" customHeight="true" outlineLevel="0" collapsed="false">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ustomFormat="false" ht="14.25" hidden="false" customHeight="true" outlineLevel="0" collapsed="false">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ustomFormat="false" ht="14.25" hidden="false" customHeight="true" outlineLevel="0" collapsed="false">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ustomFormat="false" ht="14.25" hidden="false" customHeight="true" outlineLevel="0" collapsed="false">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ustomFormat="false" ht="14.25" hidden="false" customHeight="true" outlineLevel="0" collapsed="false">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ustomFormat="false" ht="14.25" hidden="false" customHeight="true" outlineLevel="0" collapsed="false">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ustomFormat="false" ht="14.25" hidden="false" customHeight="true" outlineLevel="0" collapsed="false">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ustomFormat="false" ht="14.25" hidden="false" customHeight="true" outlineLevel="0" collapsed="false">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ustomFormat="false" ht="14.25" hidden="false" customHeight="true" outlineLevel="0" collapsed="false">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ustomFormat="false" ht="14.25" hidden="false" customHeight="true" outlineLevel="0" collapsed="false">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ustomFormat="false" ht="14.25" hidden="false" customHeight="true" outlineLevel="0" collapsed="false">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ustomFormat="false" ht="14.25" hidden="false" customHeight="true" outlineLevel="0" collapsed="false">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ustomFormat="false" ht="14.25" hidden="false" customHeight="true" outlineLevel="0" collapsed="false">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ustomFormat="false" ht="14.25" hidden="false" customHeight="true" outlineLevel="0" collapsed="false">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ustomFormat="false" ht="14.25" hidden="false" customHeight="true" outlineLevel="0" collapsed="false">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ustomFormat="false" ht="14.25" hidden="false" customHeight="true" outlineLevel="0" collapsed="false">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ustomFormat="false" ht="14.25" hidden="false" customHeight="true" outlineLevel="0" collapsed="false">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ustomFormat="false" ht="14.25" hidden="false" customHeight="true" outlineLevel="0" collapsed="false">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ustomFormat="false" ht="14.25" hidden="false" customHeight="true" outlineLevel="0" collapsed="false">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ustomFormat="false" ht="14.25" hidden="false" customHeight="true" outlineLevel="0" collapsed="false">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ustomFormat="false" ht="14.25" hidden="false" customHeight="true" outlineLevel="0" collapsed="false">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ustomFormat="false" ht="14.25" hidden="false" customHeight="true" outlineLevel="0" collapsed="false">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ustomFormat="false" ht="14.25" hidden="false" customHeight="true" outlineLevel="0" collapsed="false">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ustomFormat="false" ht="14.25" hidden="false" customHeight="true" outlineLevel="0" collapsed="false">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ustomFormat="false" ht="14.25" hidden="false" customHeight="true" outlineLevel="0" collapsed="false">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ustomFormat="false" ht="14.25" hidden="false" customHeight="true" outlineLevel="0" collapsed="false">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ustomFormat="false" ht="14.25" hidden="false" customHeight="true" outlineLevel="0" collapsed="false">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ustomFormat="false" ht="14.25" hidden="false" customHeight="true" outlineLevel="0" collapsed="false">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ustomFormat="false" ht="14.25" hidden="false" customHeight="true" outlineLevel="0" collapsed="false">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ustomFormat="false" ht="14.25" hidden="false" customHeight="true" outlineLevel="0" collapsed="false">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ustomFormat="false" ht="14.25" hidden="false" customHeight="true" outlineLevel="0" collapsed="false">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ustomFormat="false" ht="14.25" hidden="false" customHeight="true" outlineLevel="0" collapsed="false">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ustomFormat="false" ht="14.25" hidden="false" customHeight="true" outlineLevel="0" collapsed="false">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ustomFormat="false" ht="14.25" hidden="false" customHeight="true" outlineLevel="0" collapsed="false">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ustomFormat="false" ht="14.25" hidden="false" customHeight="true" outlineLevel="0" collapsed="false">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ustomFormat="false" ht="14.25" hidden="false" customHeight="true" outlineLevel="0" collapsed="false">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ustomFormat="false" ht="14.25" hidden="false" customHeight="true" outlineLevel="0" collapsed="false">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ustomFormat="false" ht="14.25" hidden="false" customHeight="true" outlineLevel="0" collapsed="false">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ustomFormat="false" ht="14.25" hidden="false" customHeight="true" outlineLevel="0" collapsed="false">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ustomFormat="false" ht="14.25" hidden="false" customHeight="true" outlineLevel="0" collapsed="false">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ustomFormat="false" ht="14.25" hidden="false" customHeight="true" outlineLevel="0" collapsed="false">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ustomFormat="false" ht="14.25" hidden="false" customHeight="true" outlineLevel="0" collapsed="false">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ustomFormat="false" ht="14.25" hidden="false" customHeight="true" outlineLevel="0" collapsed="false">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ustomFormat="false" ht="14.25" hidden="false" customHeight="true" outlineLevel="0" collapsed="false">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ustomFormat="false" ht="14.25" hidden="false" customHeight="true" outlineLevel="0" collapsed="false">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ustomFormat="false" ht="14.25" hidden="false" customHeight="true" outlineLevel="0" collapsed="false">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ustomFormat="false" ht="14.25" hidden="false" customHeight="true" outlineLevel="0" collapsed="false">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ustomFormat="false" ht="14.25" hidden="false" customHeight="true" outlineLevel="0" collapsed="false">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ustomFormat="false" ht="14.25" hidden="false" customHeight="true" outlineLevel="0" collapsed="false">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ustomFormat="false" ht="14.25" hidden="false" customHeight="true" outlineLevel="0" collapsed="false">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ustomFormat="false" ht="14.25" hidden="false" customHeight="true" outlineLevel="0" collapsed="false">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ustomFormat="false" ht="14.25" hidden="false" customHeight="true" outlineLevel="0" collapsed="false">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ustomFormat="false" ht="14.25" hidden="false" customHeight="true" outlineLevel="0" collapsed="false">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ustomFormat="false" ht="14.25" hidden="false" customHeight="true" outlineLevel="0" collapsed="false">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ustomFormat="false" ht="14.25" hidden="false" customHeight="true" outlineLevel="0" collapsed="false">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ustomFormat="false" ht="14.25" hidden="false" customHeight="true" outlineLevel="0" collapsed="false">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ustomFormat="false" ht="14.25" hidden="false" customHeight="true" outlineLevel="0" collapsed="false">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ustomFormat="false" ht="14.25" hidden="false" customHeight="true" outlineLevel="0" collapsed="false">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ustomFormat="false" ht="14.25" hidden="false" customHeight="true" outlineLevel="0" collapsed="false">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ustomFormat="false" ht="14.25" hidden="false" customHeight="true" outlineLevel="0" collapsed="false">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ustomFormat="false" ht="14.25" hidden="false" customHeight="true" outlineLevel="0" collapsed="false">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ustomFormat="false" ht="14.25" hidden="false" customHeight="true" outlineLevel="0" collapsed="false">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ustomFormat="false" ht="14.25" hidden="false" customHeight="true" outlineLevel="0" collapsed="false">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ustomFormat="false" ht="14.25" hidden="false" customHeight="true" outlineLevel="0" collapsed="false">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ustomFormat="false" ht="14.25" hidden="false" customHeight="true" outlineLevel="0" collapsed="false">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ustomFormat="false" ht="14.25" hidden="false" customHeight="true" outlineLevel="0" collapsed="false">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ustomFormat="false" ht="14.25" hidden="false" customHeight="true" outlineLevel="0" collapsed="false">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ustomFormat="false" ht="14.25" hidden="false" customHeight="true" outlineLevel="0" collapsed="false">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ustomFormat="false" ht="14.25" hidden="false" customHeight="true" outlineLevel="0" collapsed="false">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ustomFormat="false" ht="14.25" hidden="false" customHeight="true" outlineLevel="0" collapsed="false">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ustomFormat="false" ht="14.25" hidden="false" customHeight="true" outlineLevel="0" collapsed="false">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ustomFormat="false" ht="14.25" hidden="false" customHeight="true" outlineLevel="0" collapsed="false">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ustomFormat="false" ht="14.25" hidden="false" customHeight="true" outlineLevel="0" collapsed="false">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ustomFormat="false" ht="14.25" hidden="false" customHeight="true" outlineLevel="0" collapsed="false">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ustomFormat="false" ht="14.25" hidden="false" customHeight="true" outlineLevel="0" collapsed="false">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ustomFormat="false" ht="14.25" hidden="false" customHeight="true" outlineLevel="0" collapsed="false">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ustomFormat="false" ht="14.25" hidden="false" customHeight="true" outlineLevel="0" collapsed="false">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ustomFormat="false" ht="14.25" hidden="false" customHeight="true" outlineLevel="0" collapsed="false">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ustomFormat="false" ht="14.25" hidden="false" customHeight="true" outlineLevel="0" collapsed="false">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customFormat="false" ht="14.25" hidden="false" customHeight="true" outlineLevel="0" collapsed="false">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customFormat="false" ht="14.25" hidden="false" customHeight="true" outlineLevel="0" collapsed="false">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customFormat="false" ht="14.25" hidden="false" customHeight="true" outlineLevel="0" collapsed="false">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customFormat="false" ht="14.25" hidden="false" customHeight="true" outlineLevel="0" collapsed="false">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customFormat="false" ht="14.25" hidden="false" customHeight="true" outlineLevel="0" collapsed="false">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customFormat="false" ht="14.25" hidden="false" customHeight="true" outlineLevel="0" collapsed="false">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customFormat="false" ht="14.25" hidden="false" customHeight="true" outlineLevel="0" collapsed="false">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customFormat="false" ht="14.25" hidden="false" customHeight="true" outlineLevel="0" collapsed="false">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customFormat="false" ht="14.25" hidden="false" customHeight="true" outlineLevel="0" collapsed="false">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customFormat="false" ht="14.25" hidden="false" customHeight="true" outlineLevel="0" collapsed="false">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customFormat="false" ht="14.25" hidden="false" customHeight="true" outlineLevel="0" collapsed="false">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customFormat="false" ht="14.25" hidden="false" customHeight="true" outlineLevel="0" collapsed="false">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customFormat="false" ht="14.25" hidden="false" customHeight="true" outlineLevel="0" collapsed="false">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customFormat="false" ht="14.25" hidden="false" customHeight="true" outlineLevel="0" collapsed="false">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customFormat="false" ht="14.25" hidden="false" customHeight="true" outlineLevel="0" collapsed="false">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sheetData>
  <mergeCells count="6">
    <mergeCell ref="B9:H9"/>
    <mergeCell ref="J9:P9"/>
    <mergeCell ref="B10:B14"/>
    <mergeCell ref="J10:J14"/>
    <mergeCell ref="D16:H16"/>
    <mergeCell ref="L16:P16"/>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&amp;R&amp;"Courier New,Regular"&amp;10 &amp;K0078d7#مقيد – عام</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0"/>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H32" activeCellId="0" sqref="H32"/>
    </sheetView>
  </sheetViews>
  <sheetFormatPr defaultColWidth="14.4453125" defaultRowHeight="15" zeroHeight="false" outlineLevelRow="0" outlineLevelCol="0"/>
  <cols>
    <col collapsed="false" customWidth="true" hidden="false" outlineLevel="0" max="1" min="1" style="28" width="12.56"/>
    <col collapsed="false" customWidth="true" hidden="false" outlineLevel="0" max="2" min="2" style="28" width="14.56"/>
    <col collapsed="false" customWidth="true" hidden="false" outlineLevel="0" max="3" min="3" style="28" width="4.56"/>
    <col collapsed="false" customWidth="true" hidden="false" outlineLevel="0" max="8" min="4" style="28" width="14.56"/>
    <col collapsed="false" customWidth="false" hidden="false" outlineLevel="0" max="9" min="9" style="28" width="14.44"/>
    <col collapsed="false" customWidth="true" hidden="false" outlineLevel="0" max="11" min="10" style="28" width="4.56"/>
    <col collapsed="false" customWidth="true" hidden="false" outlineLevel="0" max="16" min="12" style="28" width="14.56"/>
    <col collapsed="false" customWidth="false" hidden="false" outlineLevel="0" max="16384" min="17" style="28" width="14.44"/>
  </cols>
  <sheetData>
    <row r="1" customFormat="false" ht="15" hidden="false" customHeight="true" outlineLevel="0" collapsed="false">
      <c r="A1" s="25"/>
      <c r="B1" s="25"/>
      <c r="C1" s="25"/>
      <c r="D1" s="25"/>
      <c r="E1" s="25"/>
      <c r="F1" s="25"/>
      <c r="G1" s="25"/>
      <c r="H1" s="25"/>
      <c r="I1" s="25"/>
      <c r="J1" s="25"/>
      <c r="K1" s="25"/>
      <c r="L1" s="25"/>
      <c r="M1" s="37"/>
    </row>
    <row r="2" customFormat="false" ht="15" hidden="false" customHeight="true" outlineLevel="0" collapsed="false">
      <c r="A2" s="25"/>
      <c r="B2" s="25"/>
      <c r="C2" s="25"/>
      <c r="D2" s="25"/>
      <c r="E2" s="25"/>
      <c r="F2" s="25"/>
      <c r="G2" s="25"/>
      <c r="H2" s="25"/>
      <c r="I2" s="25"/>
      <c r="J2" s="25"/>
      <c r="K2" s="25"/>
      <c r="L2" s="25"/>
      <c r="M2" s="37"/>
    </row>
    <row r="3" customFormat="false" ht="15" hidden="false" customHeight="true" outlineLevel="0" collapsed="false">
      <c r="A3" s="25"/>
      <c r="B3" s="25"/>
      <c r="C3" s="25"/>
      <c r="D3" s="25"/>
      <c r="E3" s="25"/>
      <c r="F3" s="25"/>
      <c r="G3" s="25"/>
      <c r="H3" s="25"/>
      <c r="I3" s="25"/>
      <c r="J3" s="25"/>
      <c r="K3" s="25"/>
      <c r="L3" s="25"/>
      <c r="M3" s="37"/>
    </row>
    <row r="4" customFormat="false" ht="15" hidden="false" customHeight="true" outlineLevel="0" collapsed="false">
      <c r="A4" s="25"/>
      <c r="B4" s="25"/>
      <c r="C4" s="25"/>
      <c r="D4" s="25"/>
      <c r="E4" s="25"/>
      <c r="F4" s="25"/>
      <c r="G4" s="25"/>
      <c r="H4" s="25"/>
      <c r="I4" s="25"/>
      <c r="J4" s="25"/>
      <c r="K4" s="25"/>
      <c r="L4" s="25"/>
      <c r="M4" s="37"/>
    </row>
    <row r="5" customFormat="false" ht="15" hidden="false" customHeight="true" outlineLevel="0" collapsed="false">
      <c r="A5" s="25"/>
      <c r="B5" s="25"/>
      <c r="C5" s="25"/>
      <c r="D5" s="25"/>
      <c r="E5" s="25"/>
      <c r="F5" s="25"/>
      <c r="G5" s="25"/>
      <c r="H5" s="25"/>
      <c r="I5" s="25"/>
      <c r="J5" s="25"/>
      <c r="K5" s="25"/>
      <c r="L5" s="25"/>
      <c r="M5" s="37"/>
    </row>
    <row r="6" customFormat="false" ht="15" hidden="false" customHeight="true" outlineLevel="0" collapsed="false">
      <c r="A6" s="25"/>
      <c r="B6" s="25"/>
      <c r="C6" s="25"/>
      <c r="D6" s="25"/>
      <c r="E6" s="25"/>
      <c r="F6" s="25"/>
      <c r="G6" s="25"/>
      <c r="H6" s="25"/>
      <c r="I6" s="25"/>
      <c r="J6" s="25"/>
      <c r="K6" s="25"/>
      <c r="L6" s="25"/>
      <c r="M6" s="37"/>
    </row>
    <row r="7" customFormat="false" ht="15" hidden="false" customHeight="true" outlineLevel="0" collapsed="false">
      <c r="A7" s="25"/>
      <c r="B7" s="25"/>
      <c r="C7" s="25"/>
      <c r="D7" s="25"/>
      <c r="E7" s="25"/>
      <c r="F7" s="25"/>
      <c r="G7" s="25"/>
      <c r="H7" s="25"/>
      <c r="I7" s="25"/>
      <c r="J7" s="25"/>
      <c r="K7" s="25"/>
      <c r="L7" s="25"/>
      <c r="M7" s="37"/>
    </row>
    <row r="8" customFormat="false" ht="15" hidden="false" customHeight="true" outlineLevel="0" collapsed="false">
      <c r="A8" s="25"/>
      <c r="B8" s="60" t="str">
        <f aca="false">'Cover Page'!F24</f>
        <v>Confidential</v>
      </c>
      <c r="C8" s="25"/>
      <c r="D8" s="25"/>
      <c r="E8" s="25"/>
      <c r="F8" s="25"/>
      <c r="G8" s="25"/>
      <c r="H8" s="25"/>
      <c r="I8" s="25"/>
      <c r="J8" s="25"/>
      <c r="K8" s="25"/>
      <c r="L8" s="25"/>
      <c r="M8" s="37"/>
    </row>
    <row r="9" customFormat="false" ht="15" hidden="false" customHeight="true" outlineLevel="0" collapsed="false">
      <c r="A9" s="25"/>
      <c r="B9" s="25"/>
      <c r="C9" s="25"/>
      <c r="D9" s="25"/>
      <c r="E9" s="25"/>
      <c r="F9" s="25"/>
      <c r="G9" s="25"/>
      <c r="H9" s="25"/>
      <c r="I9" s="25"/>
      <c r="J9" s="25"/>
      <c r="K9" s="25"/>
      <c r="L9" s="25"/>
      <c r="M9" s="37"/>
    </row>
    <row r="10" customFormat="false" ht="15" hidden="false" customHeight="true" outlineLevel="0" collapsed="false">
      <c r="A10" s="36"/>
      <c r="B10" s="25"/>
      <c r="C10" s="25"/>
      <c r="D10" s="25"/>
      <c r="E10" s="25"/>
      <c r="F10" s="25"/>
      <c r="G10" s="25"/>
      <c r="H10" s="25"/>
      <c r="I10" s="25"/>
      <c r="J10" s="25"/>
      <c r="K10" s="25"/>
      <c r="L10" s="25"/>
      <c r="M10" s="37"/>
    </row>
    <row r="11" customFormat="false" ht="15" hidden="false" customHeight="true" outlineLevel="0" collapsed="false">
      <c r="A11" s="36"/>
      <c r="B11" s="25"/>
      <c r="C11" s="25"/>
      <c r="D11" s="25"/>
      <c r="E11" s="25"/>
      <c r="F11" s="25"/>
      <c r="G11" s="25"/>
      <c r="H11" s="25"/>
      <c r="I11" s="25"/>
      <c r="J11" s="25"/>
      <c r="K11" s="25"/>
      <c r="L11" s="25"/>
      <c r="M11" s="37"/>
      <c r="N11" s="91"/>
      <c r="O11" s="91"/>
      <c r="P11" s="91"/>
      <c r="Q11" s="91"/>
      <c r="R11" s="91"/>
      <c r="S11" s="91"/>
      <c r="T11" s="91"/>
      <c r="U11" s="91"/>
      <c r="V11" s="91"/>
      <c r="W11" s="91"/>
      <c r="X11" s="91"/>
      <c r="Y11" s="91"/>
      <c r="Z11" s="91"/>
    </row>
    <row r="12" customFormat="false" ht="15" hidden="false" customHeight="true" outlineLevel="0" collapsed="false">
      <c r="A12" s="36"/>
      <c r="B12" s="25"/>
      <c r="C12" s="25"/>
      <c r="D12" s="25"/>
      <c r="E12" s="25"/>
      <c r="F12" s="25"/>
      <c r="G12" s="25"/>
      <c r="H12" s="25"/>
      <c r="I12" s="25"/>
      <c r="J12" s="25"/>
      <c r="K12" s="25"/>
      <c r="L12" s="25"/>
      <c r="M12" s="37"/>
      <c r="N12" s="91"/>
      <c r="O12" s="91"/>
      <c r="P12" s="91"/>
      <c r="Q12" s="91"/>
      <c r="R12" s="91"/>
      <c r="S12" s="91"/>
      <c r="T12" s="91"/>
      <c r="U12" s="91"/>
      <c r="V12" s="91"/>
      <c r="W12" s="91"/>
      <c r="X12" s="91"/>
      <c r="Y12" s="91"/>
      <c r="Z12" s="91"/>
    </row>
    <row r="13" customFormat="false" ht="15" hidden="false" customHeight="true" outlineLevel="0" collapsed="false">
      <c r="A13" s="36"/>
      <c r="B13" s="25"/>
      <c r="C13" s="25"/>
      <c r="D13" s="25"/>
      <c r="E13" s="25"/>
      <c r="F13" s="25"/>
      <c r="G13" s="25"/>
      <c r="H13" s="25"/>
      <c r="I13" s="25"/>
      <c r="J13" s="25"/>
      <c r="K13" s="25"/>
      <c r="L13" s="25"/>
      <c r="M13" s="37"/>
      <c r="N13" s="91"/>
      <c r="O13" s="91"/>
      <c r="P13" s="91"/>
      <c r="Q13" s="91"/>
      <c r="R13" s="91"/>
      <c r="S13" s="91"/>
      <c r="T13" s="91"/>
      <c r="U13" s="91"/>
      <c r="V13" s="91"/>
      <c r="W13" s="91"/>
      <c r="X13" s="91"/>
      <c r="Y13" s="91"/>
      <c r="Z13" s="91"/>
    </row>
    <row r="14" customFormat="false" ht="15" hidden="false" customHeight="true" outlineLevel="0" collapsed="false">
      <c r="A14" s="36"/>
      <c r="B14" s="25"/>
      <c r="C14" s="25"/>
      <c r="D14" s="25"/>
      <c r="E14" s="25"/>
      <c r="F14" s="25"/>
      <c r="G14" s="25"/>
      <c r="H14" s="25"/>
      <c r="I14" s="25"/>
      <c r="J14" s="25"/>
      <c r="K14" s="25"/>
      <c r="L14" s="25"/>
      <c r="M14" s="37"/>
      <c r="N14" s="91"/>
      <c r="O14" s="91"/>
      <c r="P14" s="91"/>
      <c r="Q14" s="91"/>
      <c r="R14" s="91"/>
      <c r="S14" s="91"/>
      <c r="T14" s="91"/>
      <c r="U14" s="91"/>
      <c r="V14" s="91"/>
      <c r="W14" s="91"/>
      <c r="X14" s="91"/>
      <c r="Y14" s="91"/>
      <c r="Z14" s="91"/>
    </row>
    <row r="15" customFormat="false" ht="15" hidden="false" customHeight="true" outlineLevel="0" collapsed="false">
      <c r="A15" s="36"/>
      <c r="B15" s="25"/>
      <c r="C15" s="25"/>
      <c r="D15" s="25"/>
      <c r="E15" s="25"/>
      <c r="F15" s="25"/>
      <c r="G15" s="25"/>
      <c r="H15" s="25"/>
      <c r="I15" s="25"/>
      <c r="J15" s="25"/>
      <c r="K15" s="25"/>
      <c r="L15" s="25"/>
      <c r="M15" s="37"/>
      <c r="N15" s="91"/>
      <c r="O15" s="91"/>
      <c r="P15" s="91"/>
      <c r="Q15" s="91"/>
      <c r="R15" s="91"/>
      <c r="S15" s="91"/>
      <c r="T15" s="91"/>
      <c r="U15" s="91"/>
      <c r="V15" s="91"/>
      <c r="W15" s="91"/>
      <c r="X15" s="91"/>
      <c r="Y15" s="91"/>
      <c r="Z15" s="91"/>
    </row>
    <row r="16" customFormat="false" ht="15" hidden="false" customHeight="true" outlineLevel="0" collapsed="false">
      <c r="A16" s="36"/>
      <c r="B16" s="25"/>
      <c r="C16" s="25"/>
      <c r="D16" s="25"/>
      <c r="E16" s="25"/>
      <c r="F16" s="25"/>
      <c r="G16" s="25"/>
      <c r="H16" s="25"/>
      <c r="I16" s="25"/>
      <c r="J16" s="25"/>
      <c r="K16" s="25"/>
      <c r="L16" s="25"/>
      <c r="M16" s="37"/>
      <c r="N16" s="91"/>
      <c r="O16" s="91"/>
      <c r="P16" s="91"/>
      <c r="Q16" s="91"/>
      <c r="R16" s="91"/>
      <c r="S16" s="91"/>
      <c r="T16" s="91"/>
      <c r="U16" s="91"/>
      <c r="V16" s="91"/>
      <c r="W16" s="91"/>
      <c r="X16" s="91"/>
      <c r="Y16" s="91"/>
      <c r="Z16" s="91"/>
    </row>
    <row r="17" customFormat="false" ht="15" hidden="false" customHeight="true" outlineLevel="0" collapsed="false">
      <c r="A17" s="36"/>
      <c r="B17" s="25"/>
      <c r="C17" s="25"/>
      <c r="D17" s="25"/>
      <c r="E17" s="25"/>
      <c r="F17" s="25"/>
      <c r="G17" s="25"/>
      <c r="H17" s="25"/>
      <c r="I17" s="25"/>
      <c r="J17" s="25"/>
      <c r="K17" s="25"/>
      <c r="L17" s="25"/>
      <c r="M17" s="37"/>
      <c r="N17" s="91"/>
      <c r="O17" s="91"/>
      <c r="P17" s="91"/>
      <c r="Q17" s="91"/>
      <c r="R17" s="91"/>
      <c r="S17" s="91"/>
      <c r="T17" s="91"/>
      <c r="U17" s="91"/>
      <c r="V17" s="91"/>
      <c r="W17" s="91"/>
      <c r="X17" s="91"/>
      <c r="Y17" s="91"/>
      <c r="Z17" s="91"/>
    </row>
    <row r="18" customFormat="false" ht="15" hidden="false" customHeight="true" outlineLevel="0" collapsed="false">
      <c r="A18" s="36"/>
      <c r="B18" s="25"/>
      <c r="C18" s="25"/>
      <c r="D18" s="25"/>
      <c r="E18" s="25"/>
      <c r="F18" s="25"/>
      <c r="G18" s="25"/>
      <c r="H18" s="25"/>
      <c r="I18" s="25"/>
      <c r="J18" s="25"/>
      <c r="K18" s="25"/>
      <c r="L18" s="25"/>
      <c r="M18" s="37"/>
      <c r="N18" s="91"/>
      <c r="O18" s="91"/>
      <c r="P18" s="91"/>
      <c r="Q18" s="91"/>
      <c r="R18" s="91"/>
      <c r="S18" s="91"/>
      <c r="T18" s="91"/>
      <c r="U18" s="91"/>
      <c r="V18" s="91"/>
      <c r="W18" s="91"/>
      <c r="X18" s="91"/>
      <c r="Y18" s="91"/>
      <c r="Z18" s="91"/>
    </row>
    <row r="19" customFormat="false" ht="15" hidden="false" customHeight="true" outlineLevel="0" collapsed="false">
      <c r="A19" s="36"/>
      <c r="B19" s="25"/>
      <c r="C19" s="25"/>
      <c r="D19" s="25"/>
      <c r="E19" s="25"/>
      <c r="F19" s="25"/>
      <c r="G19" s="25"/>
      <c r="H19" s="25"/>
      <c r="I19" s="25"/>
      <c r="J19" s="25"/>
      <c r="K19" s="25"/>
      <c r="L19" s="25"/>
      <c r="M19" s="37"/>
      <c r="N19" s="91"/>
      <c r="O19" s="91"/>
      <c r="P19" s="91"/>
      <c r="Q19" s="91"/>
      <c r="R19" s="91"/>
      <c r="S19" s="91"/>
      <c r="T19" s="91"/>
      <c r="U19" s="91"/>
      <c r="V19" s="91"/>
      <c r="W19" s="91"/>
      <c r="X19" s="91"/>
      <c r="Y19" s="91"/>
      <c r="Z19" s="91"/>
    </row>
    <row r="20" customFormat="false" ht="15" hidden="false" customHeight="true" outlineLevel="0" collapsed="false">
      <c r="A20" s="36"/>
      <c r="B20" s="25"/>
      <c r="C20" s="25"/>
      <c r="D20" s="25"/>
      <c r="E20" s="25"/>
      <c r="F20" s="25"/>
      <c r="G20" s="25"/>
      <c r="H20" s="25"/>
      <c r="I20" s="25"/>
      <c r="J20" s="25"/>
      <c r="K20" s="25"/>
      <c r="L20" s="25"/>
      <c r="M20" s="37"/>
      <c r="N20" s="91"/>
      <c r="O20" s="91"/>
      <c r="P20" s="91"/>
      <c r="Q20" s="91"/>
      <c r="R20" s="91"/>
      <c r="S20" s="91"/>
      <c r="T20" s="91"/>
      <c r="U20" s="91"/>
      <c r="V20" s="91"/>
      <c r="W20" s="91"/>
      <c r="X20" s="91"/>
      <c r="Y20" s="91"/>
      <c r="Z20" s="91"/>
    </row>
    <row r="21" customFormat="false" ht="15" hidden="false" customHeight="true" outlineLevel="0" collapsed="false">
      <c r="A21" s="36"/>
      <c r="B21" s="25"/>
      <c r="C21" s="25"/>
      <c r="D21" s="25"/>
      <c r="E21" s="25"/>
      <c r="F21" s="25"/>
      <c r="G21" s="25"/>
      <c r="H21" s="25"/>
      <c r="I21" s="25"/>
      <c r="J21" s="25"/>
      <c r="K21" s="25"/>
      <c r="L21" s="25"/>
      <c r="M21" s="37"/>
      <c r="N21" s="91"/>
      <c r="O21" s="91"/>
      <c r="P21" s="91"/>
      <c r="Q21" s="91"/>
      <c r="R21" s="91"/>
      <c r="S21" s="91"/>
      <c r="T21" s="91"/>
      <c r="U21" s="91"/>
      <c r="V21" s="91"/>
      <c r="W21" s="91"/>
      <c r="X21" s="91"/>
      <c r="Y21" s="91"/>
      <c r="Z21" s="91"/>
    </row>
    <row r="22" customFormat="false" ht="15" hidden="false" customHeight="true" outlineLevel="0" collapsed="false">
      <c r="A22" s="36"/>
      <c r="B22" s="25"/>
      <c r="C22" s="25"/>
      <c r="D22" s="25"/>
      <c r="E22" s="25"/>
      <c r="F22" s="25"/>
      <c r="G22" s="25"/>
      <c r="H22" s="25"/>
      <c r="I22" s="25"/>
      <c r="J22" s="25"/>
      <c r="K22" s="25"/>
      <c r="L22" s="25"/>
      <c r="M22" s="37"/>
      <c r="N22" s="91"/>
      <c r="O22" s="91"/>
      <c r="P22" s="91"/>
      <c r="Q22" s="91"/>
      <c r="R22" s="91"/>
      <c r="S22" s="91"/>
      <c r="T22" s="91"/>
      <c r="U22" s="91"/>
      <c r="V22" s="91"/>
      <c r="W22" s="91"/>
      <c r="X22" s="91"/>
      <c r="Y22" s="91"/>
      <c r="Z22" s="91"/>
    </row>
    <row r="23" customFormat="false" ht="15" hidden="false" customHeight="true" outlineLevel="0" collapsed="false">
      <c r="A23" s="36"/>
      <c r="B23" s="25"/>
      <c r="C23" s="25"/>
      <c r="D23" s="25"/>
      <c r="E23" s="25"/>
      <c r="F23" s="25"/>
      <c r="G23" s="25"/>
      <c r="H23" s="25"/>
      <c r="I23" s="25"/>
      <c r="J23" s="25"/>
      <c r="K23" s="25"/>
      <c r="L23" s="25"/>
      <c r="M23" s="37"/>
      <c r="N23" s="91"/>
      <c r="O23" s="91"/>
      <c r="P23" s="91"/>
      <c r="Q23" s="91"/>
      <c r="R23" s="91"/>
      <c r="S23" s="91"/>
      <c r="T23" s="91"/>
      <c r="U23" s="91"/>
      <c r="V23" s="91"/>
      <c r="W23" s="91"/>
      <c r="X23" s="91"/>
      <c r="Y23" s="91"/>
      <c r="Z23" s="91"/>
    </row>
    <row r="24" customFormat="false" ht="15" hidden="false" customHeight="true" outlineLevel="0" collapsed="false">
      <c r="A24" s="36"/>
      <c r="B24" s="25"/>
      <c r="C24" s="25"/>
      <c r="D24" s="25"/>
      <c r="E24" s="25"/>
      <c r="F24" s="25"/>
      <c r="G24" s="25"/>
      <c r="H24" s="25"/>
      <c r="I24" s="25"/>
      <c r="J24" s="25"/>
      <c r="K24" s="25"/>
      <c r="L24" s="25"/>
      <c r="M24" s="37"/>
      <c r="N24" s="91"/>
      <c r="O24" s="91"/>
      <c r="P24" s="91"/>
      <c r="Q24" s="91"/>
      <c r="R24" s="91"/>
      <c r="S24" s="91"/>
      <c r="T24" s="91"/>
      <c r="U24" s="91"/>
      <c r="V24" s="91"/>
      <c r="W24" s="91"/>
      <c r="X24" s="91"/>
      <c r="Y24" s="91"/>
      <c r="Z24" s="91"/>
    </row>
    <row r="25" customFormat="false" ht="15" hidden="false" customHeight="true" outlineLevel="0" collapsed="false">
      <c r="A25" s="36"/>
      <c r="B25" s="25"/>
      <c r="C25" s="25"/>
      <c r="D25" s="25"/>
      <c r="E25" s="25"/>
      <c r="F25" s="25"/>
      <c r="G25" s="25"/>
      <c r="H25" s="25"/>
      <c r="I25" s="25"/>
      <c r="J25" s="25"/>
      <c r="K25" s="25"/>
      <c r="L25" s="25"/>
      <c r="M25" s="37"/>
      <c r="N25" s="91"/>
      <c r="O25" s="91"/>
      <c r="P25" s="91"/>
      <c r="Q25" s="91"/>
      <c r="R25" s="91"/>
      <c r="S25" s="91"/>
      <c r="T25" s="91"/>
      <c r="U25" s="91"/>
      <c r="V25" s="91"/>
      <c r="W25" s="91"/>
      <c r="X25" s="91"/>
      <c r="Y25" s="91"/>
      <c r="Z25" s="91"/>
    </row>
    <row r="26" customFormat="false" ht="15" hidden="false" customHeight="true" outlineLevel="0" collapsed="false">
      <c r="A26" s="36"/>
      <c r="B26" s="25"/>
      <c r="C26" s="25"/>
      <c r="D26" s="25"/>
      <c r="E26" s="25"/>
      <c r="F26" s="25"/>
      <c r="G26" s="25"/>
      <c r="H26" s="25"/>
      <c r="I26" s="25"/>
      <c r="J26" s="25"/>
      <c r="K26" s="25"/>
      <c r="L26" s="25"/>
      <c r="M26" s="37"/>
      <c r="N26" s="91"/>
      <c r="O26" s="91"/>
      <c r="P26" s="91"/>
      <c r="Q26" s="91"/>
      <c r="R26" s="91"/>
      <c r="S26" s="91"/>
      <c r="T26" s="91"/>
      <c r="U26" s="91"/>
      <c r="V26" s="91"/>
      <c r="W26" s="91"/>
      <c r="X26" s="91"/>
      <c r="Y26" s="91"/>
      <c r="Z26" s="91"/>
    </row>
    <row r="27" customFormat="false" ht="15" hidden="false" customHeight="true" outlineLevel="0" collapsed="false">
      <c r="A27" s="36"/>
      <c r="B27" s="25"/>
      <c r="C27" s="25"/>
      <c r="D27" s="25"/>
      <c r="E27" s="25"/>
      <c r="F27" s="25"/>
      <c r="G27" s="25"/>
      <c r="H27" s="25"/>
      <c r="I27" s="25"/>
      <c r="J27" s="25"/>
      <c r="K27" s="25"/>
      <c r="L27" s="25"/>
      <c r="M27" s="37"/>
      <c r="N27" s="91"/>
      <c r="O27" s="91"/>
      <c r="P27" s="91"/>
      <c r="Q27" s="91"/>
      <c r="R27" s="91"/>
      <c r="S27" s="91"/>
      <c r="T27" s="91"/>
      <c r="U27" s="91"/>
      <c r="V27" s="91"/>
      <c r="W27" s="91"/>
      <c r="X27" s="91"/>
      <c r="Y27" s="91"/>
      <c r="Z27" s="91"/>
    </row>
    <row r="28" customFormat="false" ht="15" hidden="false" customHeight="true" outlineLevel="0" collapsed="false">
      <c r="A28" s="36"/>
      <c r="B28" s="25"/>
      <c r="C28" s="25"/>
      <c r="D28" s="25"/>
      <c r="E28" s="25"/>
      <c r="F28" s="25"/>
      <c r="G28" s="25"/>
      <c r="H28" s="25"/>
      <c r="I28" s="25"/>
      <c r="J28" s="25"/>
      <c r="K28" s="25"/>
      <c r="L28" s="25"/>
      <c r="M28" s="37"/>
      <c r="N28" s="91"/>
      <c r="O28" s="91"/>
      <c r="P28" s="91"/>
      <c r="Q28" s="91"/>
      <c r="R28" s="91"/>
      <c r="S28" s="91"/>
      <c r="T28" s="91"/>
      <c r="U28" s="91"/>
      <c r="V28" s="91"/>
      <c r="W28" s="91"/>
      <c r="X28" s="91"/>
      <c r="Y28" s="91"/>
      <c r="Z28" s="91"/>
    </row>
    <row r="29" customFormat="false" ht="15" hidden="false" customHeight="true" outlineLevel="0" collapsed="false">
      <c r="A29" s="36"/>
      <c r="B29" s="25"/>
      <c r="C29" s="25"/>
      <c r="D29" s="25"/>
      <c r="E29" s="25"/>
      <c r="F29" s="25"/>
      <c r="G29" s="25"/>
      <c r="H29" s="25"/>
      <c r="I29" s="25"/>
      <c r="J29" s="25"/>
      <c r="K29" s="25"/>
      <c r="L29" s="25"/>
      <c r="M29" s="37"/>
      <c r="N29" s="91"/>
      <c r="O29" s="91"/>
      <c r="P29" s="91"/>
      <c r="Q29" s="91"/>
      <c r="R29" s="91"/>
      <c r="S29" s="91"/>
      <c r="T29" s="91"/>
      <c r="U29" s="91"/>
      <c r="V29" s="91"/>
      <c r="W29" s="91"/>
      <c r="X29" s="91"/>
      <c r="Y29" s="91"/>
      <c r="Z29" s="91"/>
    </row>
    <row r="30" customFormat="false" ht="15" hidden="false" customHeight="true" outlineLevel="0" collapsed="false">
      <c r="A30" s="36"/>
      <c r="B30" s="25"/>
      <c r="C30" s="25"/>
      <c r="D30" s="25"/>
      <c r="E30" s="25"/>
      <c r="F30" s="25"/>
      <c r="G30" s="25"/>
      <c r="H30" s="25"/>
      <c r="I30" s="25"/>
      <c r="J30" s="25"/>
      <c r="K30" s="25"/>
      <c r="L30" s="25"/>
      <c r="M30" s="37"/>
      <c r="N30" s="91"/>
      <c r="O30" s="91"/>
      <c r="P30" s="91"/>
      <c r="Q30" s="91"/>
      <c r="R30" s="91"/>
      <c r="S30" s="91"/>
      <c r="T30" s="91"/>
      <c r="U30" s="91"/>
      <c r="V30" s="91"/>
      <c r="W30" s="91"/>
      <c r="X30" s="91"/>
      <c r="Y30" s="91"/>
      <c r="Z30" s="91"/>
    </row>
    <row r="31" customFormat="false" ht="15" hidden="false" customHeight="true" outlineLevel="0" collapsed="false">
      <c r="A31" s="92" t="s">
        <v>229</v>
      </c>
      <c r="B31" s="89"/>
      <c r="C31" s="89"/>
      <c r="D31" s="89"/>
      <c r="E31" s="89"/>
      <c r="F31" s="89"/>
      <c r="G31" s="89"/>
      <c r="H31" s="89"/>
      <c r="I31" s="89"/>
      <c r="J31" s="89"/>
      <c r="K31" s="89"/>
      <c r="L31" s="89"/>
      <c r="M31" s="90"/>
      <c r="N31" s="91"/>
      <c r="O31" s="91"/>
      <c r="P31" s="91"/>
      <c r="Q31" s="91"/>
      <c r="R31" s="91"/>
      <c r="S31" s="91"/>
      <c r="T31" s="91"/>
      <c r="U31" s="91"/>
      <c r="V31" s="91"/>
      <c r="W31" s="91"/>
      <c r="X31" s="91"/>
      <c r="Y31" s="91"/>
      <c r="Z31" s="91"/>
    </row>
    <row r="32" customFormat="false" ht="14.25" hidden="false" customHeight="true" outlineLevel="0" collapsed="false">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customFormat="false" ht="14.25" hidden="false" customHeight="true" outlineLevel="0" collapsed="false">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customFormat="false" ht="14.25" hidden="false" customHeight="true" outlineLevel="0" collapsed="false">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customFormat="false" ht="14.25" hidden="false" customHeight="true" outlineLevel="0" collapsed="false">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customFormat="false" ht="14.25" hidden="false" customHeight="true" outlineLevel="0" collapsed="false">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customFormat="false" ht="14.25" hidden="false" customHeight="true" outlineLevel="0" collapsed="false">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customFormat="false" ht="14.25" hidden="false" customHeight="true" outlineLevel="0" collapsed="false">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customFormat="false" ht="14.25" hidden="false" customHeight="true" outlineLevel="0" collapsed="false">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customFormat="false" ht="14.25" hidden="false" customHeight="true" outlineLevel="0" collapsed="false">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customFormat="false" ht="14.25" hidden="false" customHeight="true" outlineLevel="0" collapsed="false">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customFormat="false" ht="14.25" hidden="false" customHeight="true" outlineLevel="0" collapsed="false">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customFormat="false" ht="14.25" hidden="false" customHeight="true" outlineLevel="0" collapsed="false">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customFormat="false" ht="14.25" hidden="false" customHeight="true" outlineLevel="0" collapsed="false">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customFormat="false" ht="14.25" hidden="false" customHeight="true" outlineLevel="0" collapsed="false">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customFormat="false" ht="14.25" hidden="false" customHeight="true" outlineLevel="0" collapsed="false">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customFormat="false" ht="14.25" hidden="false" customHeight="true" outlineLevel="0" collapsed="false">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customFormat="false" ht="14.25" hidden="false" customHeight="true" outlineLevel="0" collapsed="false">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customFormat="false" ht="14.25" hidden="false" customHeight="true" outlineLevel="0" collapsed="false">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customFormat="false" ht="14.25" hidden="false" customHeight="true" outlineLevel="0" collapsed="false">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customFormat="false" ht="14.25" hidden="false" customHeight="true" outlineLevel="0" collapsed="false">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customFormat="false" ht="14.25" hidden="false" customHeight="true" outlineLevel="0" collapsed="false">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customFormat="false" ht="14.25" hidden="false" customHeight="true" outlineLevel="0" collapsed="false">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customFormat="false" ht="14.25" hidden="false" customHeight="true" outlineLevel="0" collapsed="false">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customFormat="false" ht="14.25" hidden="false" customHeight="true" outlineLevel="0" collapsed="false">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customFormat="false" ht="14.25" hidden="false" customHeight="true" outlineLevel="0" collapsed="false">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customFormat="false" ht="14.25" hidden="false" customHeight="true" outlineLevel="0" collapsed="false">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customFormat="false" ht="14.25" hidden="false" customHeight="true" outlineLevel="0" collapsed="false">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customFormat="false" ht="14.25" hidden="false" customHeight="true" outlineLevel="0" collapsed="false">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customFormat="false" ht="14.25" hidden="false" customHeight="true" outlineLevel="0" collapsed="false">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customFormat="false" ht="14.25" hidden="false" customHeight="true" outlineLevel="0" collapsed="false">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customFormat="false" ht="14.25" hidden="false" customHeight="true" outlineLevel="0" collapsed="false">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customFormat="false" ht="14.25" hidden="false" customHeight="true" outlineLevel="0" collapsed="false">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customFormat="false" ht="14.25" hidden="false" customHeight="true" outlineLevel="0" collapsed="false">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customFormat="false" ht="14.25" hidden="false" customHeight="true" outlineLevel="0" collapsed="false">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customFormat="false" ht="14.25" hidden="false" customHeight="true" outlineLevel="0" collapsed="false">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customFormat="false" ht="14.25" hidden="false" customHeight="true" outlineLevel="0" collapsed="false">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customFormat="false" ht="14.25" hidden="false" customHeight="true" outlineLevel="0" collapsed="false">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customFormat="false" ht="14.25" hidden="false" customHeight="true" outlineLevel="0" collapsed="false">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customFormat="false" ht="14.25" hidden="false" customHeight="true" outlineLevel="0" collapsed="false">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customFormat="false" ht="14.25" hidden="false" customHeight="true" outlineLevel="0" collapsed="false">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customFormat="false" ht="14.25" hidden="false" customHeight="true" outlineLevel="0" collapsed="false">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customFormat="false" ht="14.25" hidden="false" customHeight="true" outlineLevel="0" collapsed="false">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customFormat="false" ht="14.25" hidden="false" customHeight="true" outlineLevel="0" collapsed="false">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customFormat="false" ht="14.25" hidden="false" customHeight="true" outlineLevel="0" collapsed="false">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customFormat="false" ht="14.25" hidden="false" customHeight="true" outlineLevel="0" collapsed="false">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customFormat="false" ht="14.25" hidden="false" customHeight="true" outlineLevel="0" collapsed="false">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customFormat="false" ht="14.25" hidden="false" customHeight="true" outlineLevel="0" collapsed="false">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customFormat="false" ht="14.25" hidden="false" customHeight="true" outlineLevel="0" collapsed="false">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customFormat="false" ht="14.25" hidden="false" customHeight="true" outlineLevel="0" collapsed="false">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customFormat="false" ht="14.25" hidden="false" customHeight="true" outlineLevel="0" collapsed="false">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customFormat="false" ht="14.25" hidden="false" customHeight="true" outlineLevel="0" collapsed="false">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customFormat="false" ht="14.25" hidden="false" customHeight="true" outlineLevel="0" collapsed="false">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customFormat="false" ht="14.25" hidden="false" customHeight="true" outlineLevel="0" collapsed="false">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customFormat="false" ht="14.25" hidden="false" customHeight="true" outlineLevel="0" collapsed="false">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customFormat="false" ht="14.25" hidden="false" customHeight="true" outlineLevel="0" collapsed="false">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customFormat="false" ht="14.25" hidden="false" customHeight="true" outlineLevel="0" collapsed="false">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customFormat="false" ht="14.25" hidden="false" customHeight="true" outlineLevel="0" collapsed="false">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customFormat="false" ht="14.25" hidden="false" customHeight="true" outlineLevel="0" collapsed="false">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customFormat="false" ht="14.25" hidden="false" customHeight="true" outlineLevel="0" collapsed="false">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customFormat="false" ht="14.25" hidden="false" customHeight="true" outlineLevel="0" collapsed="false">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customFormat="false" ht="14.25" hidden="false" customHeight="true" outlineLevel="0" collapsed="false">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customFormat="false" ht="14.25" hidden="false" customHeight="true" outlineLevel="0" collapsed="false">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customFormat="false" ht="14.25" hidden="false" customHeight="true" outlineLevel="0" collapsed="false">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customFormat="false" ht="14.25" hidden="false" customHeight="true" outlineLevel="0" collapsed="false">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customFormat="false" ht="14.25" hidden="false" customHeight="true" outlineLevel="0" collapsed="false">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customFormat="false" ht="14.25" hidden="false" customHeight="true" outlineLevel="0" collapsed="false">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customFormat="false" ht="14.25" hidden="false" customHeight="true" outlineLevel="0" collapsed="false">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customFormat="false" ht="14.25" hidden="false" customHeight="true" outlineLevel="0" collapsed="false">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customFormat="false" ht="14.25" hidden="false" customHeight="true" outlineLevel="0" collapsed="false">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customFormat="false" ht="14.25" hidden="false" customHeight="true" outlineLevel="0" collapsed="false">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customFormat="false" ht="14.25" hidden="false" customHeight="true" outlineLevel="0" collapsed="false">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customFormat="false" ht="14.25" hidden="false" customHeight="true" outlineLevel="0" collapsed="false">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customFormat="false" ht="14.25" hidden="false" customHeight="true" outlineLevel="0" collapsed="false">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customFormat="false" ht="14.25" hidden="false" customHeight="true" outlineLevel="0" collapsed="false">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customFormat="false" ht="14.25" hidden="false" customHeight="true" outlineLevel="0" collapsed="false">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customFormat="false" ht="14.25" hidden="false" customHeight="true" outlineLevel="0" collapsed="false">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customFormat="false" ht="14.25" hidden="false" customHeight="true" outlineLevel="0" collapsed="false">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customFormat="false" ht="14.25" hidden="false" customHeight="true" outlineLevel="0" collapsed="false">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customFormat="false" ht="14.25" hidden="false" customHeight="true" outlineLevel="0" collapsed="false">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customFormat="false" ht="14.25" hidden="false" customHeight="true" outlineLevel="0" collapsed="false">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customFormat="false" ht="14.25" hidden="false" customHeight="true" outlineLevel="0" collapsed="false">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customFormat="false" ht="14.25" hidden="false" customHeight="true" outlineLevel="0" collapsed="false">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customFormat="false" ht="14.25" hidden="false" customHeight="true" outlineLevel="0" collapsed="false">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customFormat="false" ht="14.25" hidden="false" customHeight="true" outlineLevel="0" collapsed="false">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customFormat="false" ht="14.25" hidden="false" customHeight="true" outlineLevel="0" collapsed="false">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customFormat="false" ht="14.25" hidden="false" customHeight="true" outlineLevel="0" collapsed="false">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customFormat="false" ht="14.25" hidden="false" customHeight="true" outlineLevel="0" collapsed="false">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customFormat="false" ht="14.25" hidden="false" customHeight="true" outlineLevel="0" collapsed="false">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customFormat="false" ht="14.25" hidden="false" customHeight="true" outlineLevel="0" collapsed="false">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customFormat="false" ht="14.25" hidden="false" customHeight="true" outlineLevel="0" collapsed="false">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customFormat="false" ht="14.25" hidden="false" customHeight="true" outlineLevel="0" collapsed="false">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customFormat="false" ht="14.25" hidden="false" customHeight="true" outlineLevel="0" collapsed="false">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customFormat="false" ht="14.25" hidden="false" customHeight="true" outlineLevel="0" collapsed="false">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customFormat="false" ht="14.25" hidden="false" customHeight="true" outlineLevel="0" collapsed="false">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customFormat="false" ht="14.25" hidden="false" customHeight="true" outlineLevel="0" collapsed="false">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customFormat="false" ht="14.25" hidden="false" customHeight="true" outlineLevel="0" collapsed="false">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customFormat="false" ht="14.25" hidden="false" customHeight="true" outlineLevel="0" collapsed="false">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customFormat="false" ht="14.25" hidden="false" customHeight="true" outlineLevel="0" collapsed="false">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customFormat="false" ht="14.25" hidden="false" customHeight="true" outlineLevel="0" collapsed="false">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customFormat="false" ht="14.25" hidden="false" customHeight="true" outlineLevel="0" collapsed="false">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customFormat="false" ht="14.25" hidden="false" customHeight="true" outlineLevel="0" collapsed="false">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customFormat="false" ht="14.25" hidden="false" customHeight="true" outlineLevel="0" collapsed="false">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customFormat="false" ht="14.25" hidden="false" customHeight="true" outlineLevel="0" collapsed="false">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customFormat="false" ht="14.25" hidden="false" customHeight="true" outlineLevel="0" collapsed="false">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customFormat="false" ht="14.25" hidden="false" customHeight="true" outlineLevel="0" collapsed="false">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customFormat="false" ht="14.25" hidden="false" customHeight="true" outlineLevel="0" collapsed="false">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customFormat="false" ht="14.25" hidden="false" customHeight="true" outlineLevel="0" collapsed="false">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customFormat="false" ht="14.25" hidden="false" customHeight="true" outlineLevel="0" collapsed="false">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customFormat="false" ht="14.25" hidden="false" customHeight="true" outlineLevel="0" collapsed="false">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customFormat="false" ht="14.25" hidden="false" customHeight="true" outlineLevel="0" collapsed="false">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customFormat="false" ht="14.25" hidden="false" customHeight="true" outlineLevel="0" collapsed="false">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ustomFormat="false" ht="14.25" hidden="false" customHeight="true" outlineLevel="0" collapsed="false">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customFormat="false" ht="14.25" hidden="false" customHeight="true" outlineLevel="0" collapsed="false">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customFormat="false" ht="14.25" hidden="false" customHeight="true" outlineLevel="0" collapsed="false">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customFormat="false" ht="14.25" hidden="false" customHeight="true" outlineLevel="0" collapsed="false">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customFormat="false" ht="14.25" hidden="false" customHeight="true" outlineLevel="0" collapsed="false">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customFormat="false" ht="14.25" hidden="false" customHeight="true" outlineLevel="0" collapsed="false">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customFormat="false" ht="14.25" hidden="false" customHeight="true" outlineLevel="0" collapsed="false">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customFormat="false" ht="14.25" hidden="false" customHeight="true" outlineLevel="0" collapsed="false">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customFormat="false" ht="14.25" hidden="false" customHeight="true" outlineLevel="0" collapsed="false">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customFormat="false" ht="14.25" hidden="false" customHeight="true" outlineLevel="0" collapsed="false">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customFormat="false" ht="14.25" hidden="false" customHeight="true" outlineLevel="0" collapsed="false">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customFormat="false" ht="14.25" hidden="false" customHeight="true" outlineLevel="0" collapsed="false">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customFormat="false" ht="14.25" hidden="false" customHeight="true" outlineLevel="0" collapsed="false">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customFormat="false" ht="14.25" hidden="false" customHeight="true" outlineLevel="0" collapsed="false">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customFormat="false" ht="14.25" hidden="false" customHeight="true" outlineLevel="0" collapsed="false">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customFormat="false" ht="14.25" hidden="false" customHeight="true" outlineLevel="0" collapsed="false">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customFormat="false" ht="14.25" hidden="false" customHeight="true" outlineLevel="0" collapsed="false">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customFormat="false" ht="14.25" hidden="false" customHeight="true" outlineLevel="0" collapsed="false">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customFormat="false" ht="14.25" hidden="false" customHeight="true" outlineLevel="0" collapsed="false">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customFormat="false" ht="14.25" hidden="false" customHeight="true" outlineLevel="0" collapsed="false">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customFormat="false" ht="14.25" hidden="false" customHeight="true" outlineLevel="0" collapsed="false">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customFormat="false" ht="14.25" hidden="false" customHeight="true" outlineLevel="0" collapsed="false">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customFormat="false" ht="14.25" hidden="false" customHeight="true" outlineLevel="0" collapsed="false">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customFormat="false" ht="14.25" hidden="false" customHeight="true" outlineLevel="0" collapsed="false">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customFormat="false" ht="14.25" hidden="false" customHeight="true" outlineLevel="0" collapsed="false">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customFormat="false" ht="14.25" hidden="false" customHeight="true" outlineLevel="0" collapsed="false">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customFormat="false" ht="14.25" hidden="false" customHeight="true" outlineLevel="0" collapsed="false">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customFormat="false" ht="14.25" hidden="false" customHeight="true" outlineLevel="0" collapsed="false">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customFormat="false" ht="14.25" hidden="false" customHeight="true" outlineLevel="0" collapsed="false">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customFormat="false" ht="14.25" hidden="false" customHeight="true" outlineLevel="0" collapsed="false">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customFormat="false" ht="14.25" hidden="false" customHeight="true" outlineLevel="0" collapsed="false">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customFormat="false" ht="14.25" hidden="false" customHeight="true" outlineLevel="0" collapsed="false">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customFormat="false" ht="14.25" hidden="false" customHeight="true" outlineLevel="0" collapsed="false">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customFormat="false" ht="14.25" hidden="false" customHeight="true" outlineLevel="0" collapsed="false">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customFormat="false" ht="14.25" hidden="false" customHeight="true" outlineLevel="0" collapsed="false">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customFormat="false" ht="14.25" hidden="false" customHeight="true" outlineLevel="0" collapsed="false">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customFormat="false" ht="14.25" hidden="false" customHeight="true" outlineLevel="0" collapsed="false">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customFormat="false" ht="14.25" hidden="false" customHeight="true" outlineLevel="0" collapsed="false">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customFormat="false" ht="14.25" hidden="false" customHeight="true" outlineLevel="0" collapsed="false">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customFormat="false" ht="14.25" hidden="false" customHeight="true" outlineLevel="0" collapsed="false">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customFormat="false" ht="14.25" hidden="false" customHeight="true" outlineLevel="0" collapsed="false">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customFormat="false" ht="14.25" hidden="false" customHeight="true" outlineLevel="0" collapsed="false">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customFormat="false" ht="14.25" hidden="false" customHeight="true" outlineLevel="0" collapsed="false">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customFormat="false" ht="14.25" hidden="false" customHeight="true" outlineLevel="0" collapsed="false">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customFormat="false" ht="14.25" hidden="false" customHeight="true" outlineLevel="0" collapsed="false">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customFormat="false" ht="14.25" hidden="false" customHeight="true" outlineLevel="0" collapsed="false">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customFormat="false" ht="14.25" hidden="false" customHeight="true" outlineLevel="0" collapsed="false">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customFormat="false" ht="14.25" hidden="false" customHeight="true" outlineLevel="0" collapsed="false">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customFormat="false" ht="14.25" hidden="false" customHeight="true" outlineLevel="0" collapsed="false">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customFormat="false" ht="14.25" hidden="false" customHeight="true" outlineLevel="0" collapsed="false">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customFormat="false" ht="14.25" hidden="false" customHeight="true" outlineLevel="0" collapsed="false">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customFormat="false" ht="14.25" hidden="false" customHeight="true" outlineLevel="0" collapsed="false">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customFormat="false" ht="14.25" hidden="false" customHeight="true" outlineLevel="0" collapsed="false">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customFormat="false" ht="14.25" hidden="false" customHeight="true" outlineLevel="0" collapsed="false">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customFormat="false" ht="14.25" hidden="false" customHeight="true" outlineLevel="0" collapsed="false">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customFormat="false" ht="14.25" hidden="false" customHeight="true" outlineLevel="0" collapsed="false">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customFormat="false" ht="14.25" hidden="false" customHeight="true" outlineLevel="0" collapsed="false">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customFormat="false" ht="14.25" hidden="false" customHeight="true" outlineLevel="0" collapsed="false">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customFormat="false" ht="14.25" hidden="false" customHeight="true" outlineLevel="0" collapsed="false">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customFormat="false" ht="14.25" hidden="false" customHeight="true" outlineLevel="0" collapsed="false">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customFormat="false" ht="14.25" hidden="false" customHeight="true" outlineLevel="0" collapsed="false">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customFormat="false" ht="14.25" hidden="false" customHeight="true" outlineLevel="0" collapsed="false">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customFormat="false" ht="14.25" hidden="false" customHeight="true" outlineLevel="0" collapsed="false">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customFormat="false" ht="14.25" hidden="false" customHeight="true" outlineLevel="0" collapsed="false">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customFormat="false" ht="14.25" hidden="false" customHeight="true" outlineLevel="0" collapsed="false">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customFormat="false" ht="14.25" hidden="false" customHeight="true" outlineLevel="0" collapsed="false">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customFormat="false" ht="14.25" hidden="false" customHeight="true" outlineLevel="0" collapsed="false">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customFormat="false" ht="14.25" hidden="false" customHeight="true" outlineLevel="0" collapsed="false">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customFormat="false" ht="14.25" hidden="false" customHeight="true" outlineLevel="0" collapsed="false">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customFormat="false" ht="14.25" hidden="false" customHeight="true" outlineLevel="0" collapsed="false">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customFormat="false" ht="14.25" hidden="false" customHeight="true" outlineLevel="0" collapsed="false">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customFormat="false" ht="14.25" hidden="false" customHeight="true" outlineLevel="0" collapsed="false">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customFormat="false" ht="14.25" hidden="false" customHeight="true" outlineLevel="0" collapsed="false">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customFormat="false" ht="14.25" hidden="false" customHeight="true" outlineLevel="0" collapsed="false">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customFormat="false" ht="14.25" hidden="false" customHeight="true" outlineLevel="0" collapsed="false">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customFormat="false" ht="14.25" hidden="false" customHeight="true" outlineLevel="0" collapsed="false">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customFormat="false" ht="14.25" hidden="false" customHeight="true" outlineLevel="0" collapsed="false">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customFormat="false" ht="14.25" hidden="false" customHeight="true" outlineLevel="0" collapsed="false">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customFormat="false" ht="14.25" hidden="false" customHeight="true" outlineLevel="0" collapsed="false">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customFormat="false" ht="14.25" hidden="false" customHeight="true" outlineLevel="0" collapsed="false">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customFormat="false" ht="14.25" hidden="false" customHeight="true" outlineLevel="0" collapsed="false">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customFormat="false" ht="14.25" hidden="false" customHeight="true" outlineLevel="0" collapsed="false">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ustomFormat="false" ht="14.25" hidden="false" customHeight="true" outlineLevel="0" collapsed="false">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ustomFormat="false" ht="14.25" hidden="false" customHeight="true" outlineLevel="0" collapsed="false">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ustomFormat="false" ht="14.25" hidden="false" customHeight="true" outlineLevel="0" collapsed="false">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ustomFormat="false" ht="14.25" hidden="false" customHeight="true" outlineLevel="0" collapsed="false">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ustomFormat="false" ht="14.25" hidden="false" customHeight="true" outlineLevel="0" collapsed="false">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ustomFormat="false" ht="14.25" hidden="false" customHeight="true" outlineLevel="0" collapsed="false">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ustomFormat="false" ht="14.25" hidden="false" customHeight="true" outlineLevel="0" collapsed="false">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ustomFormat="false" ht="14.25" hidden="false" customHeight="true" outlineLevel="0" collapsed="false">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ustomFormat="false" ht="14.25" hidden="false" customHeight="true" outlineLevel="0" collapsed="false">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ustomFormat="false" ht="14.25" hidden="false" customHeight="true" outlineLevel="0" collapsed="false">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ustomFormat="false" ht="14.25" hidden="false" customHeight="true" outlineLevel="0" collapsed="false">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ustomFormat="false" ht="14.25" hidden="false" customHeight="true" outlineLevel="0" collapsed="false">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ustomFormat="false" ht="14.25" hidden="false" customHeight="true" outlineLevel="0" collapsed="false">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ustomFormat="false" ht="14.25" hidden="false" customHeight="true" outlineLevel="0" collapsed="false">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ustomFormat="false" ht="14.25" hidden="false" customHeight="true" outlineLevel="0" collapsed="false">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ustomFormat="false" ht="14.25" hidden="false" customHeight="true" outlineLevel="0" collapsed="false">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ustomFormat="false" ht="14.25" hidden="false" customHeight="true" outlineLevel="0" collapsed="false">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ustomFormat="false" ht="14.25" hidden="false" customHeight="true" outlineLevel="0" collapsed="false">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ustomFormat="false" ht="14.25" hidden="false" customHeight="true" outlineLevel="0" collapsed="false">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ustomFormat="false" ht="14.25" hidden="false" customHeight="true" outlineLevel="0" collapsed="false">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ustomFormat="false" ht="14.25" hidden="false" customHeight="true" outlineLevel="0" collapsed="false">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ustomFormat="false" ht="14.25" hidden="false" customHeight="true" outlineLevel="0" collapsed="false">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ustomFormat="false" ht="14.25" hidden="false" customHeight="true" outlineLevel="0" collapsed="false">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ustomFormat="false" ht="14.25" hidden="false" customHeight="true" outlineLevel="0" collapsed="false">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ustomFormat="false" ht="14.25" hidden="false" customHeight="true" outlineLevel="0" collapsed="false">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ustomFormat="false" ht="14.25" hidden="false" customHeight="true" outlineLevel="0" collapsed="false">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ustomFormat="false" ht="14.25" hidden="false" customHeight="true" outlineLevel="0" collapsed="false">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ustomFormat="false" ht="14.25" hidden="false" customHeight="true" outlineLevel="0" collapsed="false">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ustomFormat="false" ht="14.25" hidden="false" customHeight="true" outlineLevel="0" collapsed="false">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ustomFormat="false" ht="14.25" hidden="false" customHeight="true" outlineLevel="0" collapsed="false">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ustomFormat="false" ht="14.25" hidden="false" customHeight="true" outlineLevel="0" collapsed="false">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ustomFormat="false" ht="14.25" hidden="false" customHeight="true" outlineLevel="0" collapsed="false">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ustomFormat="false" ht="14.25" hidden="false" customHeight="true" outlineLevel="0" collapsed="false">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ustomFormat="false" ht="14.25" hidden="false" customHeight="true" outlineLevel="0" collapsed="false">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ustomFormat="false" ht="14.25" hidden="false" customHeight="true" outlineLevel="0" collapsed="false">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ustomFormat="false" ht="14.25" hidden="false" customHeight="true" outlineLevel="0" collapsed="false">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ustomFormat="false" ht="14.25" hidden="false" customHeight="true" outlineLevel="0" collapsed="false">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ustomFormat="false" ht="14.25" hidden="false" customHeight="true" outlineLevel="0" collapsed="false">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ustomFormat="false" ht="14.25" hidden="false" customHeight="true" outlineLevel="0" collapsed="false">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ustomFormat="false" ht="14.25" hidden="false" customHeight="true" outlineLevel="0" collapsed="false">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ustomFormat="false" ht="14.25" hidden="false" customHeight="true" outlineLevel="0" collapsed="false">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ustomFormat="false" ht="14.25" hidden="false" customHeight="true" outlineLevel="0" collapsed="false">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ustomFormat="false" ht="14.25" hidden="false" customHeight="true" outlineLevel="0" collapsed="false">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ustomFormat="false" ht="14.25" hidden="false" customHeight="true" outlineLevel="0" collapsed="false">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ustomFormat="false" ht="14.25" hidden="false" customHeight="true" outlineLevel="0" collapsed="false">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ustomFormat="false" ht="14.25" hidden="false" customHeight="true" outlineLevel="0" collapsed="false">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ustomFormat="false" ht="14.25" hidden="false" customHeight="true" outlineLevel="0" collapsed="false">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ustomFormat="false" ht="14.25" hidden="false" customHeight="true" outlineLevel="0" collapsed="false">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ustomFormat="false" ht="14.25" hidden="false" customHeight="true" outlineLevel="0" collapsed="false">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ustomFormat="false" ht="14.25" hidden="false" customHeight="true" outlineLevel="0" collapsed="false">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ustomFormat="false" ht="14.25" hidden="false" customHeight="true" outlineLevel="0" collapsed="false">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ustomFormat="false" ht="14.25" hidden="false" customHeight="true" outlineLevel="0" collapsed="false">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ustomFormat="false" ht="14.25" hidden="false" customHeight="true" outlineLevel="0" collapsed="false">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ustomFormat="false" ht="14.25" hidden="false" customHeight="true" outlineLevel="0" collapsed="false">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ustomFormat="false" ht="14.25" hidden="false" customHeight="true" outlineLevel="0" collapsed="false">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ustomFormat="false" ht="14.25" hidden="false" customHeight="true" outlineLevel="0" collapsed="false">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ustomFormat="false" ht="14.25" hidden="false" customHeight="true" outlineLevel="0" collapsed="false">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ustomFormat="false" ht="14.25" hidden="false" customHeight="true" outlineLevel="0" collapsed="false">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ustomFormat="false" ht="14.25" hidden="false" customHeight="true" outlineLevel="0" collapsed="false">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ustomFormat="false" ht="14.25" hidden="false" customHeight="true" outlineLevel="0" collapsed="false">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ustomFormat="false" ht="14.25" hidden="false" customHeight="true" outlineLevel="0" collapsed="false">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ustomFormat="false" ht="14.25" hidden="false" customHeight="true" outlineLevel="0" collapsed="false">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ustomFormat="false" ht="14.25" hidden="false" customHeight="true" outlineLevel="0" collapsed="false">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ustomFormat="false" ht="14.25" hidden="false" customHeight="true" outlineLevel="0" collapsed="false">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ustomFormat="false" ht="14.25" hidden="false" customHeight="true" outlineLevel="0" collapsed="false">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ustomFormat="false" ht="14.25" hidden="false" customHeight="true" outlineLevel="0" collapsed="false">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ustomFormat="false" ht="14.25" hidden="false" customHeight="true" outlineLevel="0" collapsed="false">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ustomFormat="false" ht="14.25" hidden="false" customHeight="true" outlineLevel="0" collapsed="false">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ustomFormat="false" ht="14.25" hidden="false" customHeight="true" outlineLevel="0" collapsed="false">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ustomFormat="false" ht="14.25" hidden="false" customHeight="true" outlineLevel="0" collapsed="false">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ustomFormat="false" ht="14.25" hidden="false" customHeight="true" outlineLevel="0" collapsed="false">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ustomFormat="false" ht="14.25" hidden="false" customHeight="true" outlineLevel="0" collapsed="false">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ustomFormat="false" ht="14.25" hidden="false" customHeight="true" outlineLevel="0" collapsed="false">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ustomFormat="false" ht="14.25" hidden="false" customHeight="true" outlineLevel="0" collapsed="false">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ustomFormat="false" ht="14.25" hidden="false" customHeight="true" outlineLevel="0" collapsed="false">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ustomFormat="false" ht="14.25" hidden="false" customHeight="true" outlineLevel="0" collapsed="false">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ustomFormat="false" ht="14.25" hidden="false" customHeight="true" outlineLevel="0" collapsed="false">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ustomFormat="false" ht="14.25" hidden="false" customHeight="true" outlineLevel="0" collapsed="false">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ustomFormat="false" ht="14.25" hidden="false" customHeight="true" outlineLevel="0" collapsed="false">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ustomFormat="false" ht="14.25" hidden="false" customHeight="true" outlineLevel="0" collapsed="false">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ustomFormat="false" ht="14.25" hidden="false" customHeight="true" outlineLevel="0" collapsed="false">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ustomFormat="false" ht="14.25" hidden="false" customHeight="true" outlineLevel="0" collapsed="false">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ustomFormat="false" ht="14.25" hidden="false" customHeight="true" outlineLevel="0" collapsed="false">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ustomFormat="false" ht="14.25" hidden="false" customHeight="true" outlineLevel="0" collapsed="false">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ustomFormat="false" ht="14.25" hidden="false" customHeight="true" outlineLevel="0" collapsed="false">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ustomFormat="false" ht="14.25" hidden="false" customHeight="true" outlineLevel="0" collapsed="false">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ustomFormat="false" ht="14.25" hidden="false" customHeight="true" outlineLevel="0" collapsed="false">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ustomFormat="false" ht="14.25" hidden="false" customHeight="true" outlineLevel="0" collapsed="false">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ustomFormat="false" ht="14.25" hidden="false" customHeight="true" outlineLevel="0" collapsed="false">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ustomFormat="false" ht="14.25" hidden="false" customHeight="true" outlineLevel="0" collapsed="false">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ustomFormat="false" ht="14.25" hidden="false" customHeight="true" outlineLevel="0" collapsed="false">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ustomFormat="false" ht="14.25" hidden="false" customHeight="true" outlineLevel="0" collapsed="false">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ustomFormat="false" ht="14.25" hidden="false" customHeight="true" outlineLevel="0" collapsed="false">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ustomFormat="false" ht="14.25" hidden="false" customHeight="true" outlineLevel="0" collapsed="false">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ustomFormat="false" ht="14.25" hidden="false" customHeight="true" outlineLevel="0" collapsed="false">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ustomFormat="false" ht="14.25" hidden="false" customHeight="true" outlineLevel="0" collapsed="false">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ustomFormat="false" ht="14.25" hidden="false" customHeight="true" outlineLevel="0" collapsed="false">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ustomFormat="false" ht="14.25" hidden="false" customHeight="true" outlineLevel="0" collapsed="false">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ustomFormat="false" ht="14.25" hidden="false" customHeight="true" outlineLevel="0" collapsed="false">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ustomFormat="false" ht="14.25" hidden="false" customHeight="true" outlineLevel="0" collapsed="false">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ustomFormat="false" ht="14.25" hidden="false" customHeight="true" outlineLevel="0" collapsed="false">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ustomFormat="false" ht="14.25" hidden="false" customHeight="true" outlineLevel="0" collapsed="false">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ustomFormat="false" ht="14.25" hidden="false" customHeight="true" outlineLevel="0" collapsed="false">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ustomFormat="false" ht="14.25" hidden="false" customHeight="true" outlineLevel="0" collapsed="false">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ustomFormat="false" ht="14.25" hidden="false" customHeight="true" outlineLevel="0" collapsed="false">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ustomFormat="false" ht="14.25" hidden="false" customHeight="true" outlineLevel="0" collapsed="false">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ustomFormat="false" ht="14.25" hidden="false" customHeight="true" outlineLevel="0" collapsed="false">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ustomFormat="false" ht="14.25" hidden="false" customHeight="true" outlineLevel="0" collapsed="false">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ustomFormat="false" ht="14.25" hidden="false" customHeight="true" outlineLevel="0" collapsed="false">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ustomFormat="false" ht="14.25" hidden="false" customHeight="true" outlineLevel="0" collapsed="false">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ustomFormat="false" ht="14.25" hidden="false" customHeight="true" outlineLevel="0" collapsed="false">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ustomFormat="false" ht="14.25" hidden="false" customHeight="true" outlineLevel="0" collapsed="false">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ustomFormat="false" ht="14.25" hidden="false" customHeight="true" outlineLevel="0" collapsed="false">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ustomFormat="false" ht="14.25" hidden="false" customHeight="true" outlineLevel="0" collapsed="false">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ustomFormat="false" ht="14.25" hidden="false" customHeight="true" outlineLevel="0" collapsed="false">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ustomFormat="false" ht="14.25" hidden="false" customHeight="true" outlineLevel="0" collapsed="false">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ustomFormat="false" ht="14.25" hidden="false" customHeight="true" outlineLevel="0" collapsed="false">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ustomFormat="false" ht="14.25" hidden="false" customHeight="true" outlineLevel="0" collapsed="false">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ustomFormat="false" ht="14.25" hidden="false" customHeight="true" outlineLevel="0" collapsed="false">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ustomFormat="false" ht="14.25" hidden="false" customHeight="true" outlineLevel="0" collapsed="false">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ustomFormat="false" ht="14.25" hidden="false" customHeight="true" outlineLevel="0" collapsed="false">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ustomFormat="false" ht="14.25" hidden="false" customHeight="true" outlineLevel="0" collapsed="false">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ustomFormat="false" ht="14.25" hidden="false" customHeight="true" outlineLevel="0" collapsed="false">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ustomFormat="false" ht="14.25" hidden="false" customHeight="true" outlineLevel="0" collapsed="false">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ustomFormat="false" ht="14.25" hidden="false" customHeight="true" outlineLevel="0" collapsed="false">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ustomFormat="false" ht="14.25" hidden="false" customHeight="true" outlineLevel="0" collapsed="false">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ustomFormat="false" ht="14.25" hidden="false" customHeight="true" outlineLevel="0" collapsed="false">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ustomFormat="false" ht="14.25" hidden="false" customHeight="true" outlineLevel="0" collapsed="false">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ustomFormat="false" ht="14.25" hidden="false" customHeight="true" outlineLevel="0" collapsed="false">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ustomFormat="false" ht="14.25" hidden="false" customHeight="true" outlineLevel="0" collapsed="false">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ustomFormat="false" ht="14.25" hidden="false" customHeight="true" outlineLevel="0" collapsed="false">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ustomFormat="false" ht="14.25" hidden="false" customHeight="true" outlineLevel="0" collapsed="false">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ustomFormat="false" ht="14.25" hidden="false" customHeight="true" outlineLevel="0" collapsed="false">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ustomFormat="false" ht="14.25" hidden="false" customHeight="true" outlineLevel="0" collapsed="false">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ustomFormat="false" ht="14.25" hidden="false" customHeight="true" outlineLevel="0" collapsed="false">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ustomFormat="false" ht="14.25" hidden="false" customHeight="true" outlineLevel="0" collapsed="false">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ustomFormat="false" ht="14.25" hidden="false" customHeight="true" outlineLevel="0" collapsed="false">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ustomFormat="false" ht="14.25" hidden="false" customHeight="true" outlineLevel="0" collapsed="false">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ustomFormat="false" ht="14.25" hidden="false" customHeight="true" outlineLevel="0" collapsed="false">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ustomFormat="false" ht="14.25" hidden="false" customHeight="true" outlineLevel="0" collapsed="false">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ustomFormat="false" ht="14.25" hidden="false" customHeight="true" outlineLevel="0" collapsed="false">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ustomFormat="false" ht="14.25" hidden="false" customHeight="true" outlineLevel="0" collapsed="false">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ustomFormat="false" ht="14.25" hidden="false" customHeight="true" outlineLevel="0" collapsed="false">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ustomFormat="false" ht="14.25" hidden="false" customHeight="true" outlineLevel="0" collapsed="false">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ustomFormat="false" ht="14.25" hidden="false" customHeight="true" outlineLevel="0" collapsed="false">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ustomFormat="false" ht="14.25" hidden="false" customHeight="true" outlineLevel="0" collapsed="false">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ustomFormat="false" ht="14.25" hidden="false" customHeight="true" outlineLevel="0" collapsed="false">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ustomFormat="false" ht="14.25" hidden="false" customHeight="true" outlineLevel="0" collapsed="false">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ustomFormat="false" ht="14.25" hidden="false" customHeight="true" outlineLevel="0" collapsed="false">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ustomFormat="false" ht="14.25" hidden="false" customHeight="true" outlineLevel="0" collapsed="false">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ustomFormat="false" ht="14.25" hidden="false" customHeight="true" outlineLevel="0" collapsed="false">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ustomFormat="false" ht="14.25" hidden="false" customHeight="true" outlineLevel="0" collapsed="false">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ustomFormat="false" ht="14.25" hidden="false" customHeight="true" outlineLevel="0" collapsed="false">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ustomFormat="false" ht="14.25" hidden="false" customHeight="true" outlineLevel="0" collapsed="false">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ustomFormat="false" ht="14.25" hidden="false" customHeight="true" outlineLevel="0" collapsed="false">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ustomFormat="false" ht="14.25" hidden="false" customHeight="true" outlineLevel="0" collapsed="false">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ustomFormat="false" ht="14.25" hidden="false" customHeight="true" outlineLevel="0" collapsed="false">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ustomFormat="false" ht="14.25" hidden="false" customHeight="true" outlineLevel="0" collapsed="false">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ustomFormat="false" ht="14.25" hidden="false" customHeight="true" outlineLevel="0" collapsed="false">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ustomFormat="false" ht="14.25" hidden="false" customHeight="true" outlineLevel="0" collapsed="false">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ustomFormat="false" ht="14.25" hidden="false" customHeight="true" outlineLevel="0" collapsed="false">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ustomFormat="false" ht="14.25" hidden="false" customHeight="true" outlineLevel="0" collapsed="false">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ustomFormat="false" ht="14.25" hidden="false" customHeight="true" outlineLevel="0" collapsed="false">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ustomFormat="false" ht="14.25" hidden="false" customHeight="true" outlineLevel="0" collapsed="false">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ustomFormat="false" ht="14.25" hidden="false" customHeight="true" outlineLevel="0" collapsed="false">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ustomFormat="false" ht="14.25" hidden="false" customHeight="true" outlineLevel="0" collapsed="false">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ustomFormat="false" ht="14.25" hidden="false" customHeight="true" outlineLevel="0" collapsed="false">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ustomFormat="false" ht="14.25" hidden="false" customHeight="true" outlineLevel="0" collapsed="false">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ustomFormat="false" ht="14.25" hidden="false" customHeight="true" outlineLevel="0" collapsed="false">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ustomFormat="false" ht="14.25" hidden="false" customHeight="true" outlineLevel="0" collapsed="false">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ustomFormat="false" ht="14.25" hidden="false" customHeight="true" outlineLevel="0" collapsed="false">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ustomFormat="false" ht="14.25" hidden="false" customHeight="true" outlineLevel="0" collapsed="false">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ustomFormat="false" ht="14.25" hidden="false" customHeight="true" outlineLevel="0" collapsed="false">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ustomFormat="false" ht="14.25" hidden="false" customHeight="true" outlineLevel="0" collapsed="false">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ustomFormat="false" ht="14.25" hidden="false" customHeight="true" outlineLevel="0" collapsed="false">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ustomFormat="false" ht="14.25" hidden="false" customHeight="true" outlineLevel="0" collapsed="false">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ustomFormat="false" ht="14.25" hidden="false" customHeight="true" outlineLevel="0" collapsed="false">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ustomFormat="false" ht="14.25" hidden="false" customHeight="true" outlineLevel="0" collapsed="false">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ustomFormat="false" ht="14.25" hidden="false" customHeight="true" outlineLevel="0" collapsed="false">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ustomFormat="false" ht="14.25" hidden="false" customHeight="true" outlineLevel="0" collapsed="false">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ustomFormat="false" ht="14.25" hidden="false" customHeight="true" outlineLevel="0" collapsed="false">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ustomFormat="false" ht="14.25" hidden="false" customHeight="true" outlineLevel="0" collapsed="false">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ustomFormat="false" ht="14.25" hidden="false" customHeight="true" outlineLevel="0" collapsed="false">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ustomFormat="false" ht="14.25" hidden="false" customHeight="true" outlineLevel="0" collapsed="false">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ustomFormat="false" ht="14.25" hidden="false" customHeight="true" outlineLevel="0" collapsed="false">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ustomFormat="false" ht="14.25" hidden="false" customHeight="true" outlineLevel="0" collapsed="false">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ustomFormat="false" ht="14.25" hidden="false" customHeight="true" outlineLevel="0" collapsed="false">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ustomFormat="false" ht="14.25" hidden="false" customHeight="true" outlineLevel="0" collapsed="false">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ustomFormat="false" ht="14.25" hidden="false" customHeight="true" outlineLevel="0" collapsed="false">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ustomFormat="false" ht="14.25" hidden="false" customHeight="true" outlineLevel="0" collapsed="false">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ustomFormat="false" ht="14.25" hidden="false" customHeight="true" outlineLevel="0" collapsed="false">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ustomFormat="false" ht="14.25" hidden="false" customHeight="true" outlineLevel="0" collapsed="false">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ustomFormat="false" ht="14.25" hidden="false" customHeight="true" outlineLevel="0" collapsed="false">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ustomFormat="false" ht="14.25" hidden="false" customHeight="true" outlineLevel="0" collapsed="false">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ustomFormat="false" ht="14.25" hidden="false" customHeight="true" outlineLevel="0" collapsed="false">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ustomFormat="false" ht="14.25" hidden="false" customHeight="true" outlineLevel="0" collapsed="false">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ustomFormat="false" ht="14.25" hidden="false" customHeight="true" outlineLevel="0" collapsed="false">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ustomFormat="false" ht="14.25" hidden="false" customHeight="true" outlineLevel="0" collapsed="false">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ustomFormat="false" ht="14.25" hidden="false" customHeight="true" outlineLevel="0" collapsed="false">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ustomFormat="false" ht="14.25" hidden="false" customHeight="true" outlineLevel="0" collapsed="false">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ustomFormat="false" ht="14.25" hidden="false" customHeight="true" outlineLevel="0" collapsed="false">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ustomFormat="false" ht="14.25" hidden="false" customHeight="true" outlineLevel="0" collapsed="false">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ustomFormat="false" ht="14.25" hidden="false" customHeight="true" outlineLevel="0" collapsed="false">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ustomFormat="false" ht="14.25" hidden="false" customHeight="true" outlineLevel="0" collapsed="false">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ustomFormat="false" ht="14.25" hidden="false" customHeight="true" outlineLevel="0" collapsed="false">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ustomFormat="false" ht="14.25" hidden="false" customHeight="true" outlineLevel="0" collapsed="false">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ustomFormat="false" ht="14.25" hidden="false" customHeight="true" outlineLevel="0" collapsed="false">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ustomFormat="false" ht="14.25" hidden="false" customHeight="true" outlineLevel="0" collapsed="false">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ustomFormat="false" ht="14.25" hidden="false" customHeight="true" outlineLevel="0" collapsed="false">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ustomFormat="false" ht="14.25" hidden="false" customHeight="true" outlineLevel="0" collapsed="false">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ustomFormat="false" ht="14.25" hidden="false" customHeight="true" outlineLevel="0" collapsed="false">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ustomFormat="false" ht="14.25" hidden="false" customHeight="true" outlineLevel="0" collapsed="false">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ustomFormat="false" ht="14.25" hidden="false" customHeight="true" outlineLevel="0" collapsed="false">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ustomFormat="false" ht="14.25" hidden="false" customHeight="true" outlineLevel="0" collapsed="false">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ustomFormat="false" ht="14.25" hidden="false" customHeight="true" outlineLevel="0" collapsed="false">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ustomFormat="false" ht="14.25" hidden="false" customHeight="true" outlineLevel="0" collapsed="false">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ustomFormat="false" ht="14.25" hidden="false" customHeight="true" outlineLevel="0" collapsed="false">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ustomFormat="false" ht="14.25" hidden="false" customHeight="true" outlineLevel="0" collapsed="false">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ustomFormat="false" ht="14.25" hidden="false" customHeight="true" outlineLevel="0" collapsed="false">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ustomFormat="false" ht="14.25" hidden="false" customHeight="true" outlineLevel="0" collapsed="false">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ustomFormat="false" ht="14.25" hidden="false" customHeight="true" outlineLevel="0" collapsed="false">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ustomFormat="false" ht="14.25" hidden="false" customHeight="true" outlineLevel="0" collapsed="false">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ustomFormat="false" ht="14.25" hidden="false" customHeight="true" outlineLevel="0" collapsed="false">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ustomFormat="false" ht="14.25" hidden="false" customHeight="true" outlineLevel="0" collapsed="false">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ustomFormat="false" ht="14.25" hidden="false" customHeight="true" outlineLevel="0" collapsed="false">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ustomFormat="false" ht="14.25" hidden="false" customHeight="true" outlineLevel="0" collapsed="false">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ustomFormat="false" ht="14.25" hidden="false" customHeight="true" outlineLevel="0" collapsed="false">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ustomFormat="false" ht="14.25" hidden="false" customHeight="true" outlineLevel="0" collapsed="false">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ustomFormat="false" ht="14.25" hidden="false" customHeight="true" outlineLevel="0" collapsed="false">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ustomFormat="false" ht="14.25" hidden="false" customHeight="true" outlineLevel="0" collapsed="false">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ustomFormat="false" ht="14.25" hidden="false" customHeight="true" outlineLevel="0" collapsed="false">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ustomFormat="false" ht="14.25" hidden="false" customHeight="true" outlineLevel="0" collapsed="false">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ustomFormat="false" ht="14.25" hidden="false" customHeight="true" outlineLevel="0" collapsed="false">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ustomFormat="false" ht="14.25" hidden="false" customHeight="true" outlineLevel="0" collapsed="false">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ustomFormat="false" ht="14.25" hidden="false" customHeight="true" outlineLevel="0" collapsed="false">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ustomFormat="false" ht="14.25" hidden="false" customHeight="true" outlineLevel="0" collapsed="false">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ustomFormat="false" ht="14.25" hidden="false" customHeight="true" outlineLevel="0" collapsed="false">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ustomFormat="false" ht="14.25" hidden="false" customHeight="true" outlineLevel="0" collapsed="false">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ustomFormat="false" ht="14.25" hidden="false" customHeight="true" outlineLevel="0" collapsed="false">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ustomFormat="false" ht="14.25" hidden="false" customHeight="true" outlineLevel="0" collapsed="false">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ustomFormat="false" ht="14.25" hidden="false" customHeight="true" outlineLevel="0" collapsed="false">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ustomFormat="false" ht="14.25" hidden="false" customHeight="true" outlineLevel="0" collapsed="false">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ustomFormat="false" ht="14.25" hidden="false" customHeight="true" outlineLevel="0" collapsed="false">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ustomFormat="false" ht="14.25" hidden="false" customHeight="true" outlineLevel="0" collapsed="false">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ustomFormat="false" ht="14.25" hidden="false" customHeight="true" outlineLevel="0" collapsed="false">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ustomFormat="false" ht="14.25" hidden="false" customHeight="true" outlineLevel="0" collapsed="false">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ustomFormat="false" ht="14.25" hidden="false" customHeight="true" outlineLevel="0" collapsed="false">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ustomFormat="false" ht="14.25" hidden="false" customHeight="true" outlineLevel="0" collapsed="false">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ustomFormat="false" ht="14.25" hidden="false" customHeight="true" outlineLevel="0" collapsed="false">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ustomFormat="false" ht="14.25" hidden="false" customHeight="true" outlineLevel="0" collapsed="false">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ustomFormat="false" ht="14.25" hidden="false" customHeight="true" outlineLevel="0" collapsed="false">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ustomFormat="false" ht="14.25" hidden="false" customHeight="true" outlineLevel="0" collapsed="false">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ustomFormat="false" ht="14.25" hidden="false" customHeight="true" outlineLevel="0" collapsed="false">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ustomFormat="false" ht="14.25" hidden="false" customHeight="true" outlineLevel="0" collapsed="false">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ustomFormat="false" ht="14.25" hidden="false" customHeight="true" outlineLevel="0" collapsed="false">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ustomFormat="false" ht="14.25" hidden="false" customHeight="true" outlineLevel="0" collapsed="false">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ustomFormat="false" ht="14.25" hidden="false" customHeight="true" outlineLevel="0" collapsed="false">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ustomFormat="false" ht="14.25" hidden="false" customHeight="true" outlineLevel="0" collapsed="false">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ustomFormat="false" ht="14.25" hidden="false" customHeight="true" outlineLevel="0" collapsed="false">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ustomFormat="false" ht="14.25" hidden="false" customHeight="true" outlineLevel="0" collapsed="false">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ustomFormat="false" ht="14.25" hidden="false" customHeight="true" outlineLevel="0" collapsed="false">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ustomFormat="false" ht="14.25" hidden="false" customHeight="true" outlineLevel="0" collapsed="false">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ustomFormat="false" ht="14.25" hidden="false" customHeight="true" outlineLevel="0" collapsed="false">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ustomFormat="false" ht="14.25" hidden="false" customHeight="true" outlineLevel="0" collapsed="false">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ustomFormat="false" ht="14.25" hidden="false" customHeight="true" outlineLevel="0" collapsed="false">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ustomFormat="false" ht="14.25" hidden="false" customHeight="true" outlineLevel="0" collapsed="false">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ustomFormat="false" ht="14.25" hidden="false" customHeight="true" outlineLevel="0" collapsed="false">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ustomFormat="false" ht="14.25" hidden="false" customHeight="true" outlineLevel="0" collapsed="false">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ustomFormat="false" ht="14.25" hidden="false" customHeight="true" outlineLevel="0" collapsed="false">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ustomFormat="false" ht="14.25" hidden="false" customHeight="true" outlineLevel="0" collapsed="false">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ustomFormat="false" ht="14.25" hidden="false" customHeight="true" outlineLevel="0" collapsed="false">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ustomFormat="false" ht="14.25" hidden="false" customHeight="true" outlineLevel="0" collapsed="false">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ustomFormat="false" ht="14.25" hidden="false" customHeight="true" outlineLevel="0" collapsed="false">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ustomFormat="false" ht="14.25" hidden="false" customHeight="true" outlineLevel="0" collapsed="false">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ustomFormat="false" ht="14.25" hidden="false" customHeight="true" outlineLevel="0" collapsed="false">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ustomFormat="false" ht="14.25" hidden="false" customHeight="true" outlineLevel="0" collapsed="false">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ustomFormat="false" ht="14.25" hidden="false" customHeight="true" outlineLevel="0" collapsed="false">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ustomFormat="false" ht="14.25" hidden="false" customHeight="true" outlineLevel="0" collapsed="false">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ustomFormat="false" ht="14.25" hidden="false" customHeight="true" outlineLevel="0" collapsed="false">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ustomFormat="false" ht="14.25" hidden="false" customHeight="true" outlineLevel="0" collapsed="false">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ustomFormat="false" ht="14.25" hidden="false" customHeight="true" outlineLevel="0" collapsed="false">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ustomFormat="false" ht="14.25" hidden="false" customHeight="true" outlineLevel="0" collapsed="false">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ustomFormat="false" ht="14.25" hidden="false" customHeight="true" outlineLevel="0" collapsed="false">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ustomFormat="false" ht="14.25" hidden="false" customHeight="true" outlineLevel="0" collapsed="false">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ustomFormat="false" ht="14.25" hidden="false" customHeight="true" outlineLevel="0" collapsed="false">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ustomFormat="false" ht="14.25" hidden="false" customHeight="true" outlineLevel="0" collapsed="false">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ustomFormat="false" ht="14.25" hidden="false" customHeight="true" outlineLevel="0" collapsed="false">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ustomFormat="false" ht="14.25" hidden="false" customHeight="true" outlineLevel="0" collapsed="false">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ustomFormat="false" ht="14.25" hidden="false" customHeight="true" outlineLevel="0" collapsed="false">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ustomFormat="false" ht="14.25" hidden="false" customHeight="true" outlineLevel="0" collapsed="false">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ustomFormat="false" ht="14.25" hidden="false" customHeight="true" outlineLevel="0" collapsed="false">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ustomFormat="false" ht="14.25" hidden="false" customHeight="true" outlineLevel="0" collapsed="false">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ustomFormat="false" ht="14.25" hidden="false" customHeight="true" outlineLevel="0" collapsed="false">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ustomFormat="false" ht="14.25" hidden="false" customHeight="true" outlineLevel="0" collapsed="false">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ustomFormat="false" ht="14.25" hidden="false" customHeight="true" outlineLevel="0" collapsed="false">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ustomFormat="false" ht="14.25" hidden="false" customHeight="true" outlineLevel="0" collapsed="false">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ustomFormat="false" ht="14.25" hidden="false" customHeight="true" outlineLevel="0" collapsed="false">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ustomFormat="false" ht="14.25" hidden="false" customHeight="true" outlineLevel="0" collapsed="false">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ustomFormat="false" ht="14.25" hidden="false" customHeight="true" outlineLevel="0" collapsed="false">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ustomFormat="false" ht="14.25" hidden="false" customHeight="true" outlineLevel="0" collapsed="false">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ustomFormat="false" ht="14.25" hidden="false" customHeight="true" outlineLevel="0" collapsed="false">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ustomFormat="false" ht="14.25" hidden="false" customHeight="true" outlineLevel="0" collapsed="false">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ustomFormat="false" ht="14.25" hidden="false" customHeight="true" outlineLevel="0" collapsed="false">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ustomFormat="false" ht="14.25" hidden="false" customHeight="true" outlineLevel="0" collapsed="false">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ustomFormat="false" ht="14.25" hidden="false" customHeight="true" outlineLevel="0" collapsed="false">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ustomFormat="false" ht="14.25" hidden="false" customHeight="true" outlineLevel="0" collapsed="false">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ustomFormat="false" ht="14.25" hidden="false" customHeight="true" outlineLevel="0" collapsed="false">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ustomFormat="false" ht="14.25" hidden="false" customHeight="true" outlineLevel="0" collapsed="false">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ustomFormat="false" ht="14.25" hidden="false" customHeight="true" outlineLevel="0" collapsed="false">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ustomFormat="false" ht="14.25" hidden="false" customHeight="true" outlineLevel="0" collapsed="false">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ustomFormat="false" ht="14.25" hidden="false" customHeight="true" outlineLevel="0" collapsed="false">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ustomFormat="false" ht="14.25" hidden="false" customHeight="true" outlineLevel="0" collapsed="false">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ustomFormat="false" ht="14.25" hidden="false" customHeight="true" outlineLevel="0" collapsed="false">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ustomFormat="false" ht="14.25" hidden="false" customHeight="true" outlineLevel="0" collapsed="false">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ustomFormat="false" ht="14.25" hidden="false" customHeight="true" outlineLevel="0" collapsed="false">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ustomFormat="false" ht="14.25" hidden="false" customHeight="true" outlineLevel="0" collapsed="false">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ustomFormat="false" ht="14.25" hidden="false" customHeight="true" outlineLevel="0" collapsed="false">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ustomFormat="false" ht="14.25" hidden="false" customHeight="true" outlineLevel="0" collapsed="false">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ustomFormat="false" ht="14.25" hidden="false" customHeight="true" outlineLevel="0" collapsed="false">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ustomFormat="false" ht="14.25" hidden="false" customHeight="true" outlineLevel="0" collapsed="false">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ustomFormat="false" ht="14.25" hidden="false" customHeight="true" outlineLevel="0" collapsed="false">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ustomFormat="false" ht="14.25" hidden="false" customHeight="true" outlineLevel="0" collapsed="false">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ustomFormat="false" ht="14.25" hidden="false" customHeight="true" outlineLevel="0" collapsed="false">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ustomFormat="false" ht="14.25" hidden="false" customHeight="true" outlineLevel="0" collapsed="false">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ustomFormat="false" ht="14.25" hidden="false" customHeight="true" outlineLevel="0" collapsed="false">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ustomFormat="false" ht="14.25" hidden="false" customHeight="true" outlineLevel="0" collapsed="false">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ustomFormat="false" ht="14.25" hidden="false" customHeight="true" outlineLevel="0" collapsed="false">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ustomFormat="false" ht="14.25" hidden="false" customHeight="true" outlineLevel="0" collapsed="false">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ustomFormat="false" ht="14.25" hidden="false" customHeight="true" outlineLevel="0" collapsed="false">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ustomFormat="false" ht="14.25" hidden="false" customHeight="true" outlineLevel="0" collapsed="false">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ustomFormat="false" ht="14.25" hidden="false" customHeight="true" outlineLevel="0" collapsed="false">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ustomFormat="false" ht="14.25" hidden="false" customHeight="true" outlineLevel="0" collapsed="false">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ustomFormat="false" ht="14.25" hidden="false" customHeight="true" outlineLevel="0" collapsed="false">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ustomFormat="false" ht="14.25" hidden="false" customHeight="true" outlineLevel="0" collapsed="false">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ustomFormat="false" ht="14.25" hidden="false" customHeight="true" outlineLevel="0" collapsed="false">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ustomFormat="false" ht="14.25" hidden="false" customHeight="true" outlineLevel="0" collapsed="false">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ustomFormat="false" ht="14.25" hidden="false" customHeight="true" outlineLevel="0" collapsed="false">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ustomFormat="false" ht="14.25" hidden="false" customHeight="true" outlineLevel="0" collapsed="false">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ustomFormat="false" ht="14.25" hidden="false" customHeight="true" outlineLevel="0" collapsed="false">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ustomFormat="false" ht="14.25" hidden="false" customHeight="true" outlineLevel="0" collapsed="false">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ustomFormat="false" ht="14.25" hidden="false" customHeight="true" outlineLevel="0" collapsed="false">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ustomFormat="false" ht="14.25" hidden="false" customHeight="true" outlineLevel="0" collapsed="false">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ustomFormat="false" ht="14.25" hidden="false" customHeight="true" outlineLevel="0" collapsed="false">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ustomFormat="false" ht="14.25" hidden="false" customHeight="true" outlineLevel="0" collapsed="false">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ustomFormat="false" ht="14.25" hidden="false" customHeight="true" outlineLevel="0" collapsed="false">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ustomFormat="false" ht="14.25" hidden="false" customHeight="true" outlineLevel="0" collapsed="false">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ustomFormat="false" ht="14.25" hidden="false" customHeight="true" outlineLevel="0" collapsed="false">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ustomFormat="false" ht="14.25" hidden="false" customHeight="true" outlineLevel="0" collapsed="false">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ustomFormat="false" ht="14.25" hidden="false" customHeight="true" outlineLevel="0" collapsed="false">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ustomFormat="false" ht="14.25" hidden="false" customHeight="true" outlineLevel="0" collapsed="false">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ustomFormat="false" ht="14.25" hidden="false" customHeight="true" outlineLevel="0" collapsed="false">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ustomFormat="false" ht="14.25" hidden="false" customHeight="true" outlineLevel="0" collapsed="false">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ustomFormat="false" ht="14.25" hidden="false" customHeight="true" outlineLevel="0" collapsed="false">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ustomFormat="false" ht="14.25" hidden="false" customHeight="true" outlineLevel="0" collapsed="false">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ustomFormat="false" ht="14.25" hidden="false" customHeight="true" outlineLevel="0" collapsed="false">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ustomFormat="false" ht="14.25" hidden="false" customHeight="true" outlineLevel="0" collapsed="false">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ustomFormat="false" ht="14.25" hidden="false" customHeight="true" outlineLevel="0" collapsed="false">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ustomFormat="false" ht="14.25" hidden="false" customHeight="true" outlineLevel="0" collapsed="false">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ustomFormat="false" ht="14.25" hidden="false" customHeight="true" outlineLevel="0" collapsed="false">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ustomFormat="false" ht="14.25" hidden="false" customHeight="true" outlineLevel="0" collapsed="false">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ustomFormat="false" ht="14.25" hidden="false" customHeight="true" outlineLevel="0" collapsed="false">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ustomFormat="false" ht="14.25" hidden="false" customHeight="true" outlineLevel="0" collapsed="false">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ustomFormat="false" ht="14.25" hidden="false" customHeight="true" outlineLevel="0" collapsed="false">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ustomFormat="false" ht="14.25" hidden="false" customHeight="true" outlineLevel="0" collapsed="false">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ustomFormat="false" ht="14.25" hidden="false" customHeight="true" outlineLevel="0" collapsed="false">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ustomFormat="false" ht="14.25" hidden="false" customHeight="true" outlineLevel="0" collapsed="false">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ustomFormat="false" ht="14.25" hidden="false" customHeight="true" outlineLevel="0" collapsed="false">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ustomFormat="false" ht="14.25" hidden="false" customHeight="true" outlineLevel="0" collapsed="false">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ustomFormat="false" ht="14.25" hidden="false" customHeight="true" outlineLevel="0" collapsed="false">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ustomFormat="false" ht="14.25" hidden="false" customHeight="true" outlineLevel="0" collapsed="false">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ustomFormat="false" ht="14.25" hidden="false" customHeight="true" outlineLevel="0" collapsed="false">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ustomFormat="false" ht="14.25" hidden="false" customHeight="true" outlineLevel="0" collapsed="false">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ustomFormat="false" ht="14.25" hidden="false" customHeight="true" outlineLevel="0" collapsed="false">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ustomFormat="false" ht="14.25" hidden="false" customHeight="true" outlineLevel="0" collapsed="false">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ustomFormat="false" ht="14.25" hidden="false" customHeight="true" outlineLevel="0" collapsed="false">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ustomFormat="false" ht="14.25" hidden="false" customHeight="true" outlineLevel="0" collapsed="false">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ustomFormat="false" ht="14.25" hidden="false" customHeight="true" outlineLevel="0" collapsed="false">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ustomFormat="false" ht="14.25" hidden="false" customHeight="true" outlineLevel="0" collapsed="false">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ustomFormat="false" ht="14.25" hidden="false" customHeight="true" outlineLevel="0" collapsed="false">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ustomFormat="false" ht="14.25" hidden="false" customHeight="true" outlineLevel="0" collapsed="false">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ustomFormat="false" ht="14.25" hidden="false" customHeight="true" outlineLevel="0" collapsed="false">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ustomFormat="false" ht="14.25" hidden="false" customHeight="true" outlineLevel="0" collapsed="false">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ustomFormat="false" ht="14.25" hidden="false" customHeight="true" outlineLevel="0" collapsed="false">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ustomFormat="false" ht="14.25" hidden="false" customHeight="true" outlineLevel="0" collapsed="false">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ustomFormat="false" ht="14.25" hidden="false" customHeight="true" outlineLevel="0" collapsed="false">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ustomFormat="false" ht="14.25" hidden="false" customHeight="true" outlineLevel="0" collapsed="false">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ustomFormat="false" ht="14.25" hidden="false" customHeight="true" outlineLevel="0" collapsed="false">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ustomFormat="false" ht="14.25" hidden="false" customHeight="true" outlineLevel="0" collapsed="false">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ustomFormat="false" ht="14.25" hidden="false" customHeight="true" outlineLevel="0" collapsed="false">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ustomFormat="false" ht="14.25" hidden="false" customHeight="true" outlineLevel="0" collapsed="false">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ustomFormat="false" ht="14.25" hidden="false" customHeight="true" outlineLevel="0" collapsed="false">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ustomFormat="false" ht="14.25" hidden="false" customHeight="true" outlineLevel="0" collapsed="false">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ustomFormat="false" ht="14.25" hidden="false" customHeight="true" outlineLevel="0" collapsed="false">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ustomFormat="false" ht="14.25" hidden="false" customHeight="true" outlineLevel="0" collapsed="false">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ustomFormat="false" ht="14.25" hidden="false" customHeight="true" outlineLevel="0" collapsed="false">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ustomFormat="false" ht="14.25" hidden="false" customHeight="true" outlineLevel="0" collapsed="false">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ustomFormat="false" ht="14.25" hidden="false" customHeight="true" outlineLevel="0" collapsed="false">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ustomFormat="false" ht="14.25" hidden="false" customHeight="true" outlineLevel="0" collapsed="false">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ustomFormat="false" ht="14.25" hidden="false" customHeight="true" outlineLevel="0" collapsed="false">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ustomFormat="false" ht="14.25" hidden="false" customHeight="true" outlineLevel="0" collapsed="false">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ustomFormat="false" ht="14.25" hidden="false" customHeight="true" outlineLevel="0" collapsed="false">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ustomFormat="false" ht="14.25" hidden="false" customHeight="true" outlineLevel="0" collapsed="false">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ustomFormat="false" ht="14.25" hidden="false" customHeight="true" outlineLevel="0" collapsed="false">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ustomFormat="false" ht="14.25" hidden="false" customHeight="true" outlineLevel="0" collapsed="false">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ustomFormat="false" ht="14.25" hidden="false" customHeight="true" outlineLevel="0" collapsed="false">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ustomFormat="false" ht="14.25" hidden="false" customHeight="true" outlineLevel="0" collapsed="false">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ustomFormat="false" ht="14.25" hidden="false" customHeight="true" outlineLevel="0" collapsed="false">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ustomFormat="false" ht="14.25" hidden="false" customHeight="true" outlineLevel="0" collapsed="false">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ustomFormat="false" ht="14.25" hidden="false" customHeight="true" outlineLevel="0" collapsed="false">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ustomFormat="false" ht="14.25" hidden="false" customHeight="true" outlineLevel="0" collapsed="false">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ustomFormat="false" ht="14.25" hidden="false" customHeight="true" outlineLevel="0" collapsed="false">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ustomFormat="false" ht="14.25" hidden="false" customHeight="true" outlineLevel="0" collapsed="false">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ustomFormat="false" ht="14.25" hidden="false" customHeight="true" outlineLevel="0" collapsed="false">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ustomFormat="false" ht="14.25" hidden="false" customHeight="true" outlineLevel="0" collapsed="false">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ustomFormat="false" ht="14.25" hidden="false" customHeight="true" outlineLevel="0" collapsed="false">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ustomFormat="false" ht="14.25" hidden="false" customHeight="true" outlineLevel="0" collapsed="false">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ustomFormat="false" ht="14.25" hidden="false" customHeight="true" outlineLevel="0" collapsed="false">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ustomFormat="false" ht="14.25" hidden="false" customHeight="true" outlineLevel="0" collapsed="false">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ustomFormat="false" ht="14.25" hidden="false" customHeight="true" outlineLevel="0" collapsed="false">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ustomFormat="false" ht="14.25" hidden="false" customHeight="true" outlineLevel="0" collapsed="false">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ustomFormat="false" ht="14.25" hidden="false" customHeight="true" outlineLevel="0" collapsed="false">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ustomFormat="false" ht="14.25" hidden="false" customHeight="true" outlineLevel="0" collapsed="false">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ustomFormat="false" ht="14.25" hidden="false" customHeight="true" outlineLevel="0" collapsed="false">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ustomFormat="false" ht="14.25" hidden="false" customHeight="true" outlineLevel="0" collapsed="false">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ustomFormat="false" ht="14.25" hidden="false" customHeight="true" outlineLevel="0" collapsed="false">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ustomFormat="false" ht="14.25" hidden="false" customHeight="true" outlineLevel="0" collapsed="false">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ustomFormat="false" ht="14.25" hidden="false" customHeight="true" outlineLevel="0" collapsed="false">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ustomFormat="false" ht="14.25" hidden="false" customHeight="true" outlineLevel="0" collapsed="false">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ustomFormat="false" ht="14.25" hidden="false" customHeight="true" outlineLevel="0" collapsed="false">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ustomFormat="false" ht="14.25" hidden="false" customHeight="true" outlineLevel="0" collapsed="false">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ustomFormat="false" ht="14.25" hidden="false" customHeight="true" outlineLevel="0" collapsed="false">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ustomFormat="false" ht="14.25" hidden="false" customHeight="true" outlineLevel="0" collapsed="false">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ustomFormat="false" ht="14.25" hidden="false" customHeight="true" outlineLevel="0" collapsed="false">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ustomFormat="false" ht="14.25" hidden="false" customHeight="true" outlineLevel="0" collapsed="false">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ustomFormat="false" ht="14.25" hidden="false" customHeight="true" outlineLevel="0" collapsed="false">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ustomFormat="false" ht="14.25" hidden="false" customHeight="true" outlineLevel="0" collapsed="false">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ustomFormat="false" ht="14.25" hidden="false" customHeight="true" outlineLevel="0" collapsed="false">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ustomFormat="false" ht="14.25" hidden="false" customHeight="true" outlineLevel="0" collapsed="false">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ustomFormat="false" ht="14.25" hidden="false" customHeight="true" outlineLevel="0" collapsed="false">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ustomFormat="false" ht="14.25" hidden="false" customHeight="true" outlineLevel="0" collapsed="false">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ustomFormat="false" ht="14.25" hidden="false" customHeight="true" outlineLevel="0" collapsed="false">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ustomFormat="false" ht="14.25" hidden="false" customHeight="true" outlineLevel="0" collapsed="false">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ustomFormat="false" ht="14.25" hidden="false" customHeight="true" outlineLevel="0" collapsed="false">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ustomFormat="false" ht="14.25" hidden="false" customHeight="true" outlineLevel="0" collapsed="false">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ustomFormat="false" ht="14.25" hidden="false" customHeight="true" outlineLevel="0" collapsed="false">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ustomFormat="false" ht="14.25" hidden="false" customHeight="true" outlineLevel="0" collapsed="false">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ustomFormat="false" ht="14.25" hidden="false" customHeight="true" outlineLevel="0" collapsed="false">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ustomFormat="false" ht="14.25" hidden="false" customHeight="true" outlineLevel="0" collapsed="false">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ustomFormat="false" ht="14.25" hidden="false" customHeight="true" outlineLevel="0" collapsed="false">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ustomFormat="false" ht="14.25" hidden="false" customHeight="true" outlineLevel="0" collapsed="false">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ustomFormat="false" ht="14.25" hidden="false" customHeight="true" outlineLevel="0" collapsed="false">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ustomFormat="false" ht="14.25" hidden="false" customHeight="true" outlineLevel="0" collapsed="false">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ustomFormat="false" ht="14.25" hidden="false" customHeight="true" outlineLevel="0" collapsed="false">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ustomFormat="false" ht="14.25" hidden="false" customHeight="true" outlineLevel="0" collapsed="false">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ustomFormat="false" ht="14.25" hidden="false" customHeight="true" outlineLevel="0" collapsed="false">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ustomFormat="false" ht="14.25" hidden="false" customHeight="true" outlineLevel="0" collapsed="false">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ustomFormat="false" ht="14.25" hidden="false" customHeight="true" outlineLevel="0" collapsed="false">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ustomFormat="false" ht="14.25" hidden="false" customHeight="true" outlineLevel="0" collapsed="false">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ustomFormat="false" ht="14.25" hidden="false" customHeight="true" outlineLevel="0" collapsed="false">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ustomFormat="false" ht="14.25" hidden="false" customHeight="true" outlineLevel="0" collapsed="false">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ustomFormat="false" ht="14.25" hidden="false" customHeight="true" outlineLevel="0" collapsed="false">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ustomFormat="false" ht="14.25" hidden="false" customHeight="true" outlineLevel="0" collapsed="false">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ustomFormat="false" ht="14.25" hidden="false" customHeight="true" outlineLevel="0" collapsed="false">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ustomFormat="false" ht="14.25" hidden="false" customHeight="true" outlineLevel="0" collapsed="false">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ustomFormat="false" ht="14.25" hidden="false" customHeight="true" outlineLevel="0" collapsed="false">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ustomFormat="false" ht="14.25" hidden="false" customHeight="true" outlineLevel="0" collapsed="false">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ustomFormat="false" ht="14.25" hidden="false" customHeight="true" outlineLevel="0" collapsed="false">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ustomFormat="false" ht="14.25" hidden="false" customHeight="true" outlineLevel="0" collapsed="false">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ustomFormat="false" ht="14.25" hidden="false" customHeight="true" outlineLevel="0" collapsed="false">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ustomFormat="false" ht="14.25" hidden="false" customHeight="true" outlineLevel="0" collapsed="false">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ustomFormat="false" ht="14.25" hidden="false" customHeight="true" outlineLevel="0" collapsed="false">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ustomFormat="false" ht="14.25" hidden="false" customHeight="true" outlineLevel="0" collapsed="false">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ustomFormat="false" ht="14.25" hidden="false" customHeight="true" outlineLevel="0" collapsed="false">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ustomFormat="false" ht="14.25" hidden="false" customHeight="true" outlineLevel="0" collapsed="false">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ustomFormat="false" ht="14.25" hidden="false" customHeight="true" outlineLevel="0" collapsed="false">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ustomFormat="false" ht="14.25" hidden="false" customHeight="true" outlineLevel="0" collapsed="false">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ustomFormat="false" ht="14.25" hidden="false" customHeight="true" outlineLevel="0" collapsed="false">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ustomFormat="false" ht="14.25" hidden="false" customHeight="true" outlineLevel="0" collapsed="false">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ustomFormat="false" ht="14.25" hidden="false" customHeight="true" outlineLevel="0" collapsed="false">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ustomFormat="false" ht="14.25" hidden="false" customHeight="true" outlineLevel="0" collapsed="false">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ustomFormat="false" ht="14.25" hidden="false" customHeight="true" outlineLevel="0" collapsed="false">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ustomFormat="false" ht="14.25" hidden="false" customHeight="true" outlineLevel="0" collapsed="false">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ustomFormat="false" ht="14.25" hidden="false" customHeight="true" outlineLevel="0" collapsed="false">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ustomFormat="false" ht="14.25" hidden="false" customHeight="true" outlineLevel="0" collapsed="false">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ustomFormat="false" ht="14.25" hidden="false" customHeight="true" outlineLevel="0" collapsed="false">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ustomFormat="false" ht="14.25" hidden="false" customHeight="true" outlineLevel="0" collapsed="false">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ustomFormat="false" ht="14.25" hidden="false" customHeight="true" outlineLevel="0" collapsed="false">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ustomFormat="false" ht="14.25" hidden="false" customHeight="true" outlineLevel="0" collapsed="false">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ustomFormat="false" ht="14.25" hidden="false" customHeight="true" outlineLevel="0" collapsed="false">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ustomFormat="false" ht="14.25" hidden="false" customHeight="true" outlineLevel="0" collapsed="false">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ustomFormat="false" ht="14.25" hidden="false" customHeight="true" outlineLevel="0" collapsed="false">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ustomFormat="false" ht="14.25" hidden="false" customHeight="true" outlineLevel="0" collapsed="false">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ustomFormat="false" ht="14.25" hidden="false" customHeight="true" outlineLevel="0" collapsed="false">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ustomFormat="false" ht="14.25" hidden="false" customHeight="true" outlineLevel="0" collapsed="false">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ustomFormat="false" ht="14.25" hidden="false" customHeight="true" outlineLevel="0" collapsed="false">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ustomFormat="false" ht="14.25" hidden="false" customHeight="true" outlineLevel="0" collapsed="false">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ustomFormat="false" ht="14.25" hidden="false" customHeight="true" outlineLevel="0" collapsed="false">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ustomFormat="false" ht="14.25" hidden="false" customHeight="true" outlineLevel="0" collapsed="false">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ustomFormat="false" ht="14.25" hidden="false" customHeight="true" outlineLevel="0" collapsed="false">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ustomFormat="false" ht="14.25" hidden="false" customHeight="true" outlineLevel="0" collapsed="false">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ustomFormat="false" ht="14.25" hidden="false" customHeight="true" outlineLevel="0" collapsed="false">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ustomFormat="false" ht="14.25" hidden="false" customHeight="true" outlineLevel="0" collapsed="false">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ustomFormat="false" ht="14.25" hidden="false" customHeight="true" outlineLevel="0" collapsed="false">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ustomFormat="false" ht="14.25" hidden="false" customHeight="true" outlineLevel="0" collapsed="false">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ustomFormat="false" ht="14.25" hidden="false" customHeight="true" outlineLevel="0" collapsed="false">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ustomFormat="false" ht="14.25" hidden="false" customHeight="true" outlineLevel="0" collapsed="false">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ustomFormat="false" ht="14.25" hidden="false" customHeight="true" outlineLevel="0" collapsed="false">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ustomFormat="false" ht="14.25" hidden="false" customHeight="true" outlineLevel="0" collapsed="false">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ustomFormat="false" ht="14.25" hidden="false" customHeight="true" outlineLevel="0" collapsed="false">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ustomFormat="false" ht="14.25" hidden="false" customHeight="true" outlineLevel="0" collapsed="false">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ustomFormat="false" ht="14.25" hidden="false" customHeight="true" outlineLevel="0" collapsed="false">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ustomFormat="false" ht="14.25" hidden="false" customHeight="true" outlineLevel="0" collapsed="false">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ustomFormat="false" ht="14.25" hidden="false" customHeight="true" outlineLevel="0" collapsed="false">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ustomFormat="false" ht="14.25" hidden="false" customHeight="true" outlineLevel="0" collapsed="false">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ustomFormat="false" ht="14.25" hidden="false" customHeight="true" outlineLevel="0" collapsed="false">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ustomFormat="false" ht="14.25" hidden="false" customHeight="true" outlineLevel="0" collapsed="false">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ustomFormat="false" ht="14.25" hidden="false" customHeight="true" outlineLevel="0" collapsed="false">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ustomFormat="false" ht="14.25" hidden="false" customHeight="true" outlineLevel="0" collapsed="false">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ustomFormat="false" ht="14.25" hidden="false" customHeight="true" outlineLevel="0" collapsed="false">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ustomFormat="false" ht="14.25" hidden="false" customHeight="true" outlineLevel="0" collapsed="false">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ustomFormat="false" ht="14.25" hidden="false" customHeight="true" outlineLevel="0" collapsed="false">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ustomFormat="false" ht="14.25" hidden="false" customHeight="true" outlineLevel="0" collapsed="false">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ustomFormat="false" ht="14.25" hidden="false" customHeight="true" outlineLevel="0" collapsed="false">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ustomFormat="false" ht="14.25" hidden="false" customHeight="true" outlineLevel="0" collapsed="false">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ustomFormat="false" ht="14.25" hidden="false" customHeight="true" outlineLevel="0" collapsed="false">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ustomFormat="false" ht="14.25" hidden="false" customHeight="true" outlineLevel="0" collapsed="false">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ustomFormat="false" ht="14.25" hidden="false" customHeight="true" outlineLevel="0" collapsed="false">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ustomFormat="false" ht="14.25" hidden="false" customHeight="true" outlineLevel="0" collapsed="false">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ustomFormat="false" ht="14.25" hidden="false" customHeight="true" outlineLevel="0" collapsed="false">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ustomFormat="false" ht="14.25" hidden="false" customHeight="true" outlineLevel="0" collapsed="false">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ustomFormat="false" ht="14.25" hidden="false" customHeight="true" outlineLevel="0" collapsed="false">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ustomFormat="false" ht="14.25" hidden="false" customHeight="true" outlineLevel="0" collapsed="false">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ustomFormat="false" ht="14.25" hidden="false" customHeight="true" outlineLevel="0" collapsed="false">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ustomFormat="false" ht="14.25" hidden="false" customHeight="true" outlineLevel="0" collapsed="false">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ustomFormat="false" ht="14.25" hidden="false" customHeight="true" outlineLevel="0" collapsed="false">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ustomFormat="false" ht="14.25" hidden="false" customHeight="true" outlineLevel="0" collapsed="false">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ustomFormat="false" ht="14.25" hidden="false" customHeight="true" outlineLevel="0" collapsed="false">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ustomFormat="false" ht="14.25" hidden="false" customHeight="true" outlineLevel="0" collapsed="false">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ustomFormat="false" ht="14.25" hidden="false" customHeight="true" outlineLevel="0" collapsed="false">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ustomFormat="false" ht="14.25" hidden="false" customHeight="true" outlineLevel="0" collapsed="false">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ustomFormat="false" ht="14.25" hidden="false" customHeight="true" outlineLevel="0" collapsed="false">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ustomFormat="false" ht="14.25" hidden="false" customHeight="true" outlineLevel="0" collapsed="false">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ustomFormat="false" ht="14.25" hidden="false" customHeight="true" outlineLevel="0" collapsed="false">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ustomFormat="false" ht="14.25" hidden="false" customHeight="true" outlineLevel="0" collapsed="false">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ustomFormat="false" ht="14.25" hidden="false" customHeight="true" outlineLevel="0" collapsed="false">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ustomFormat="false" ht="14.25" hidden="false" customHeight="true" outlineLevel="0" collapsed="false">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ustomFormat="false" ht="14.25" hidden="false" customHeight="true" outlineLevel="0" collapsed="false">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ustomFormat="false" ht="14.25" hidden="false" customHeight="true" outlineLevel="0" collapsed="false">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ustomFormat="false" ht="14.25" hidden="false" customHeight="true" outlineLevel="0" collapsed="false">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ustomFormat="false" ht="14.25" hidden="false" customHeight="true" outlineLevel="0" collapsed="false">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ustomFormat="false" ht="14.25" hidden="false" customHeight="true" outlineLevel="0" collapsed="false">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ustomFormat="false" ht="14.25" hidden="false" customHeight="true" outlineLevel="0" collapsed="false">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ustomFormat="false" ht="14.25" hidden="false" customHeight="true" outlineLevel="0" collapsed="false">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ustomFormat="false" ht="14.25" hidden="false" customHeight="true" outlineLevel="0" collapsed="false">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ustomFormat="false" ht="14.25" hidden="false" customHeight="true" outlineLevel="0" collapsed="false">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ustomFormat="false" ht="14.25" hidden="false" customHeight="true" outlineLevel="0" collapsed="false">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ustomFormat="false" ht="14.25" hidden="false" customHeight="true" outlineLevel="0" collapsed="false">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ustomFormat="false" ht="14.25" hidden="false" customHeight="true" outlineLevel="0" collapsed="false">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ustomFormat="false" ht="14.25" hidden="false" customHeight="true" outlineLevel="0" collapsed="false">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ustomFormat="false" ht="14.25" hidden="false" customHeight="true" outlineLevel="0" collapsed="false">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ustomFormat="false" ht="14.25" hidden="false" customHeight="true" outlineLevel="0" collapsed="false">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ustomFormat="false" ht="14.25" hidden="false" customHeight="true" outlineLevel="0" collapsed="false">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ustomFormat="false" ht="14.25" hidden="false" customHeight="true" outlineLevel="0" collapsed="false">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ustomFormat="false" ht="14.25" hidden="false" customHeight="true" outlineLevel="0" collapsed="false">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ustomFormat="false" ht="14.25" hidden="false" customHeight="true" outlineLevel="0" collapsed="false">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ustomFormat="false" ht="14.25" hidden="false" customHeight="true" outlineLevel="0" collapsed="false">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ustomFormat="false" ht="14.25" hidden="false" customHeight="true" outlineLevel="0" collapsed="false">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ustomFormat="false" ht="14.25" hidden="false" customHeight="true" outlineLevel="0" collapsed="false">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ustomFormat="false" ht="14.25" hidden="false" customHeight="true" outlineLevel="0" collapsed="false">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ustomFormat="false" ht="14.25" hidden="false" customHeight="true" outlineLevel="0" collapsed="false">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ustomFormat="false" ht="14.25" hidden="false" customHeight="true" outlineLevel="0" collapsed="false">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ustomFormat="false" ht="14.25" hidden="false" customHeight="true" outlineLevel="0" collapsed="false">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ustomFormat="false" ht="14.25" hidden="false" customHeight="true" outlineLevel="0" collapsed="false">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ustomFormat="false" ht="14.25" hidden="false" customHeight="true" outlineLevel="0" collapsed="false">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ustomFormat="false" ht="14.25" hidden="false" customHeight="true" outlineLevel="0" collapsed="false">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ustomFormat="false" ht="14.25" hidden="false" customHeight="true" outlineLevel="0" collapsed="false">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ustomFormat="false" ht="14.25" hidden="false" customHeight="true" outlineLevel="0" collapsed="false">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ustomFormat="false" ht="14.25" hidden="false" customHeight="true" outlineLevel="0" collapsed="false">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ustomFormat="false" ht="14.25" hidden="false" customHeight="true" outlineLevel="0" collapsed="false">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ustomFormat="false" ht="14.25" hidden="false" customHeight="true" outlineLevel="0" collapsed="false">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ustomFormat="false" ht="14.25" hidden="false" customHeight="true" outlineLevel="0" collapsed="false">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ustomFormat="false" ht="14.25" hidden="false" customHeight="true" outlineLevel="0" collapsed="false">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ustomFormat="false" ht="14.25" hidden="false" customHeight="true" outlineLevel="0" collapsed="false">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ustomFormat="false" ht="14.25" hidden="false" customHeight="true" outlineLevel="0" collapsed="false">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ustomFormat="false" ht="14.25" hidden="false" customHeight="true" outlineLevel="0" collapsed="false">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ustomFormat="false" ht="14.25" hidden="false" customHeight="true" outlineLevel="0" collapsed="false">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ustomFormat="false" ht="14.25" hidden="false" customHeight="true" outlineLevel="0" collapsed="false">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ustomFormat="false" ht="14.25" hidden="false" customHeight="true" outlineLevel="0" collapsed="false">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ustomFormat="false" ht="14.25" hidden="false" customHeight="true" outlineLevel="0" collapsed="false">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ustomFormat="false" ht="14.25" hidden="false" customHeight="true" outlineLevel="0" collapsed="false">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ustomFormat="false" ht="14.25" hidden="false" customHeight="true" outlineLevel="0" collapsed="false">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ustomFormat="false" ht="14.25" hidden="false" customHeight="true" outlineLevel="0" collapsed="false">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ustomFormat="false" ht="14.25" hidden="false" customHeight="true" outlineLevel="0" collapsed="false">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ustomFormat="false" ht="14.25" hidden="false" customHeight="true" outlineLevel="0" collapsed="false">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ustomFormat="false" ht="14.25" hidden="false" customHeight="true" outlineLevel="0" collapsed="false">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ustomFormat="false" ht="14.25" hidden="false" customHeight="true" outlineLevel="0" collapsed="false">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ustomFormat="false" ht="14.25" hidden="false" customHeight="true" outlineLevel="0" collapsed="false">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ustomFormat="false" ht="14.25" hidden="false" customHeight="true" outlineLevel="0" collapsed="false">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ustomFormat="false" ht="14.25" hidden="false" customHeight="true" outlineLevel="0" collapsed="false">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ustomFormat="false" ht="14.25" hidden="false" customHeight="true" outlineLevel="0" collapsed="false">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ustomFormat="false" ht="14.25" hidden="false" customHeight="true" outlineLevel="0" collapsed="false">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ustomFormat="false" ht="14.25" hidden="false" customHeight="true" outlineLevel="0" collapsed="false">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ustomFormat="false" ht="14.25" hidden="false" customHeight="true" outlineLevel="0" collapsed="false">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ustomFormat="false" ht="14.25" hidden="false" customHeight="true" outlineLevel="0" collapsed="false">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ustomFormat="false" ht="14.25" hidden="false" customHeight="true" outlineLevel="0" collapsed="false">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ustomFormat="false" ht="14.25" hidden="false" customHeight="true" outlineLevel="0" collapsed="false">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ustomFormat="false" ht="14.25" hidden="false" customHeight="true" outlineLevel="0" collapsed="false">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ustomFormat="false" ht="14.25" hidden="false" customHeight="true" outlineLevel="0" collapsed="false">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ustomFormat="false" ht="14.25" hidden="false" customHeight="true" outlineLevel="0" collapsed="false">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ustomFormat="false" ht="14.25" hidden="false" customHeight="true" outlineLevel="0" collapsed="false">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ustomFormat="false" ht="14.25" hidden="false" customHeight="true" outlineLevel="0" collapsed="false">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ustomFormat="false" ht="14.25" hidden="false" customHeight="true" outlineLevel="0" collapsed="false">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ustomFormat="false" ht="14.25" hidden="false" customHeight="true" outlineLevel="0" collapsed="false">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ustomFormat="false" ht="14.25" hidden="false" customHeight="true" outlineLevel="0" collapsed="false">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ustomFormat="false" ht="14.25" hidden="false" customHeight="true" outlineLevel="0" collapsed="false">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ustomFormat="false" ht="14.25" hidden="false" customHeight="true" outlineLevel="0" collapsed="false">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ustomFormat="false" ht="14.25" hidden="false" customHeight="true" outlineLevel="0" collapsed="false">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ustomFormat="false" ht="14.25" hidden="false" customHeight="true" outlineLevel="0" collapsed="false">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ustomFormat="false" ht="14.25" hidden="false" customHeight="true" outlineLevel="0" collapsed="false">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ustomFormat="false" ht="14.25" hidden="false" customHeight="true" outlineLevel="0" collapsed="false">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ustomFormat="false" ht="14.25" hidden="false" customHeight="true" outlineLevel="0" collapsed="false">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ustomFormat="false" ht="14.25" hidden="false" customHeight="true" outlineLevel="0" collapsed="false">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ustomFormat="false" ht="14.25" hidden="false" customHeight="true" outlineLevel="0" collapsed="false">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ustomFormat="false" ht="14.25" hidden="false" customHeight="true" outlineLevel="0" collapsed="false">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ustomFormat="false" ht="14.25" hidden="false" customHeight="true" outlineLevel="0" collapsed="false">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ustomFormat="false" ht="14.25" hidden="false" customHeight="true" outlineLevel="0" collapsed="false">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ustomFormat="false" ht="14.25" hidden="false" customHeight="true" outlineLevel="0" collapsed="false">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ustomFormat="false" ht="14.25" hidden="false" customHeight="true" outlineLevel="0" collapsed="false">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ustomFormat="false" ht="14.25" hidden="false" customHeight="true" outlineLevel="0" collapsed="false">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ustomFormat="false" ht="14.25" hidden="false" customHeight="true" outlineLevel="0" collapsed="false">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ustomFormat="false" ht="14.25" hidden="false" customHeight="true" outlineLevel="0" collapsed="false">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ustomFormat="false" ht="14.25" hidden="false" customHeight="true" outlineLevel="0" collapsed="false">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ustomFormat="false" ht="14.25" hidden="false" customHeight="true" outlineLevel="0" collapsed="false">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ustomFormat="false" ht="14.25" hidden="false" customHeight="true" outlineLevel="0" collapsed="false">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ustomFormat="false" ht="14.25" hidden="false" customHeight="true" outlineLevel="0" collapsed="false">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ustomFormat="false" ht="14.25" hidden="false" customHeight="true" outlineLevel="0" collapsed="false">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ustomFormat="false" ht="14.25" hidden="false" customHeight="true" outlineLevel="0" collapsed="false">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ustomFormat="false" ht="14.25" hidden="false" customHeight="true" outlineLevel="0" collapsed="false">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ustomFormat="false" ht="14.25" hidden="false" customHeight="true" outlineLevel="0" collapsed="false">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ustomFormat="false" ht="14.25" hidden="false" customHeight="true" outlineLevel="0" collapsed="false">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ustomFormat="false" ht="14.25" hidden="false" customHeight="true" outlineLevel="0" collapsed="false">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ustomFormat="false" ht="14.25" hidden="false" customHeight="true" outlineLevel="0" collapsed="false">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ustomFormat="false" ht="14.25" hidden="false" customHeight="true" outlineLevel="0" collapsed="false">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ustomFormat="false" ht="14.25" hidden="false" customHeight="true" outlineLevel="0" collapsed="false">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ustomFormat="false" ht="14.25" hidden="false" customHeight="true" outlineLevel="0" collapsed="false">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ustomFormat="false" ht="14.25" hidden="false" customHeight="true" outlineLevel="0" collapsed="false">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ustomFormat="false" ht="14.25" hidden="false" customHeight="true" outlineLevel="0" collapsed="false">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ustomFormat="false" ht="14.25" hidden="false" customHeight="true" outlineLevel="0" collapsed="false">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ustomFormat="false" ht="14.25" hidden="false" customHeight="true" outlineLevel="0" collapsed="false">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ustomFormat="false" ht="14.25" hidden="false" customHeight="true" outlineLevel="0" collapsed="false">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ustomFormat="false" ht="14.25" hidden="false" customHeight="true" outlineLevel="0" collapsed="false">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ustomFormat="false" ht="14.25" hidden="false" customHeight="true" outlineLevel="0" collapsed="false">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ustomFormat="false" ht="14.25" hidden="false" customHeight="true" outlineLevel="0" collapsed="false">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ustomFormat="false" ht="14.25" hidden="false" customHeight="true" outlineLevel="0" collapsed="false">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ustomFormat="false" ht="14.25" hidden="false" customHeight="true" outlineLevel="0" collapsed="false">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ustomFormat="false" ht="14.25" hidden="false" customHeight="true" outlineLevel="0" collapsed="false">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ustomFormat="false" ht="14.25" hidden="false" customHeight="true" outlineLevel="0" collapsed="false">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ustomFormat="false" ht="14.25" hidden="false" customHeight="true" outlineLevel="0" collapsed="false">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ustomFormat="false" ht="14.25" hidden="false" customHeight="true" outlineLevel="0" collapsed="false">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ustomFormat="false" ht="14.25" hidden="false" customHeight="true" outlineLevel="0" collapsed="false">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ustomFormat="false" ht="14.25" hidden="false" customHeight="true" outlineLevel="0" collapsed="false">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ustomFormat="false" ht="14.25" hidden="false" customHeight="true" outlineLevel="0" collapsed="false">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ustomFormat="false" ht="14.25" hidden="false" customHeight="true" outlineLevel="0" collapsed="false">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ustomFormat="false" ht="14.25" hidden="false" customHeight="true" outlineLevel="0" collapsed="false">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ustomFormat="false" ht="14.25" hidden="false" customHeight="true" outlineLevel="0" collapsed="false">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ustomFormat="false" ht="14.25" hidden="false" customHeight="true" outlineLevel="0" collapsed="false">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ustomFormat="false" ht="14.25" hidden="false" customHeight="true" outlineLevel="0" collapsed="false">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ustomFormat="false" ht="14.25" hidden="false" customHeight="true" outlineLevel="0" collapsed="false">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ustomFormat="false" ht="14.25" hidden="false" customHeight="true" outlineLevel="0" collapsed="false">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ustomFormat="false" ht="14.25" hidden="false" customHeight="true" outlineLevel="0" collapsed="false">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ustomFormat="false" ht="14.25" hidden="false" customHeight="true" outlineLevel="0" collapsed="false">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ustomFormat="false" ht="14.25" hidden="false" customHeight="true" outlineLevel="0" collapsed="false">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ustomFormat="false" ht="14.25" hidden="false" customHeight="true" outlineLevel="0" collapsed="false">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ustomFormat="false" ht="14.25" hidden="false" customHeight="true" outlineLevel="0" collapsed="false">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ustomFormat="false" ht="14.25" hidden="false" customHeight="true" outlineLevel="0" collapsed="false">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ustomFormat="false" ht="14.25" hidden="false" customHeight="true" outlineLevel="0" collapsed="false">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ustomFormat="false" ht="14.25" hidden="false" customHeight="true" outlineLevel="0" collapsed="false">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ustomFormat="false" ht="14.25" hidden="false" customHeight="true" outlineLevel="0" collapsed="false">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ustomFormat="false" ht="14.25" hidden="false" customHeight="true" outlineLevel="0" collapsed="false">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ustomFormat="false" ht="14.25" hidden="false" customHeight="true" outlineLevel="0" collapsed="false">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ustomFormat="false" ht="14.25" hidden="false" customHeight="true" outlineLevel="0" collapsed="false">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ustomFormat="false" ht="14.25" hidden="false" customHeight="true" outlineLevel="0" collapsed="false">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ustomFormat="false" ht="14.25" hidden="false" customHeight="true" outlineLevel="0" collapsed="false">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ustomFormat="false" ht="14.25" hidden="false" customHeight="true" outlineLevel="0" collapsed="false">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ustomFormat="false" ht="14.25" hidden="false" customHeight="true" outlineLevel="0" collapsed="false">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ustomFormat="false" ht="14.25" hidden="false" customHeight="true" outlineLevel="0" collapsed="false">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ustomFormat="false" ht="14.25" hidden="false" customHeight="true" outlineLevel="0" collapsed="false">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ustomFormat="false" ht="14.25" hidden="false" customHeight="true" outlineLevel="0" collapsed="false">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ustomFormat="false" ht="14.25" hidden="false" customHeight="true" outlineLevel="0" collapsed="false">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ustomFormat="false" ht="14.25" hidden="false" customHeight="true" outlineLevel="0" collapsed="false">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ustomFormat="false" ht="14.25" hidden="false" customHeight="true" outlineLevel="0" collapsed="false">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ustomFormat="false" ht="14.25" hidden="false" customHeight="true" outlineLevel="0" collapsed="false">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ustomFormat="false" ht="14.25" hidden="false" customHeight="true" outlineLevel="0" collapsed="false">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ustomFormat="false" ht="14.25" hidden="false" customHeight="true" outlineLevel="0" collapsed="false">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ustomFormat="false" ht="14.25" hidden="false" customHeight="true" outlineLevel="0" collapsed="false">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ustomFormat="false" ht="14.25" hidden="false" customHeight="true" outlineLevel="0" collapsed="false">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ustomFormat="false" ht="14.25" hidden="false" customHeight="true" outlineLevel="0" collapsed="false">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ustomFormat="false" ht="14.25" hidden="false" customHeight="true" outlineLevel="0" collapsed="false">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ustomFormat="false" ht="14.25" hidden="false" customHeight="true" outlineLevel="0" collapsed="false">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ustomFormat="false" ht="14.25" hidden="false" customHeight="true" outlineLevel="0" collapsed="false">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ustomFormat="false" ht="14.25" hidden="false" customHeight="true" outlineLevel="0" collapsed="false">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ustomFormat="false" ht="14.25" hidden="false" customHeight="true" outlineLevel="0" collapsed="false">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ustomFormat="false" ht="14.25" hidden="false" customHeight="true" outlineLevel="0" collapsed="false">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ustomFormat="false" ht="14.25" hidden="false" customHeight="true" outlineLevel="0" collapsed="false">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ustomFormat="false" ht="14.25" hidden="false" customHeight="true" outlineLevel="0" collapsed="false">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ustomFormat="false" ht="14.25" hidden="false" customHeight="true" outlineLevel="0" collapsed="false">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ustomFormat="false" ht="14.25" hidden="false" customHeight="true" outlineLevel="0" collapsed="false">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ustomFormat="false" ht="14.25" hidden="false" customHeight="true" outlineLevel="0" collapsed="false">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ustomFormat="false" ht="14.25" hidden="false" customHeight="true" outlineLevel="0" collapsed="false">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ustomFormat="false" ht="14.25" hidden="false" customHeight="true" outlineLevel="0" collapsed="false">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ustomFormat="false" ht="14.25" hidden="false" customHeight="true" outlineLevel="0" collapsed="false">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ustomFormat="false" ht="14.25" hidden="false" customHeight="true" outlineLevel="0" collapsed="false">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ustomFormat="false" ht="14.25" hidden="false" customHeight="true" outlineLevel="0" collapsed="false">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ustomFormat="false" ht="14.25" hidden="false" customHeight="true" outlineLevel="0" collapsed="false">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ustomFormat="false" ht="14.25" hidden="false" customHeight="true" outlineLevel="0" collapsed="false">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ustomFormat="false" ht="14.25" hidden="false" customHeight="true" outlineLevel="0" collapsed="false">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ustomFormat="false" ht="14.25" hidden="false" customHeight="true" outlineLevel="0" collapsed="false">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ustomFormat="false" ht="14.25" hidden="false" customHeight="true" outlineLevel="0" collapsed="false">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ustomFormat="false" ht="14.25" hidden="false" customHeight="true" outlineLevel="0" collapsed="false">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ustomFormat="false" ht="14.25" hidden="false" customHeight="true" outlineLevel="0" collapsed="false">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ustomFormat="false" ht="14.25" hidden="false" customHeight="true" outlineLevel="0" collapsed="false">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ustomFormat="false" ht="14.25" hidden="false" customHeight="true" outlineLevel="0" collapsed="false">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ustomFormat="false" ht="14.25" hidden="false" customHeight="true" outlineLevel="0" collapsed="false">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ustomFormat="false" ht="14.25" hidden="false" customHeight="true" outlineLevel="0" collapsed="false">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ustomFormat="false" ht="14.25" hidden="false" customHeight="true" outlineLevel="0" collapsed="false">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ustomFormat="false" ht="14.25" hidden="false" customHeight="true" outlineLevel="0" collapsed="false">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ustomFormat="false" ht="14.25" hidden="false" customHeight="true" outlineLevel="0" collapsed="false">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ustomFormat="false" ht="14.25" hidden="false" customHeight="true" outlineLevel="0" collapsed="false">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ustomFormat="false" ht="14.25" hidden="false" customHeight="true" outlineLevel="0" collapsed="false">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ustomFormat="false" ht="14.25" hidden="false" customHeight="true" outlineLevel="0" collapsed="false">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ustomFormat="false" ht="14.25" hidden="false" customHeight="true" outlineLevel="0" collapsed="false">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ustomFormat="false" ht="14.25" hidden="false" customHeight="true" outlineLevel="0" collapsed="false">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ustomFormat="false" ht="14.25" hidden="false" customHeight="true" outlineLevel="0" collapsed="false">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ustomFormat="false" ht="14.25" hidden="false" customHeight="true" outlineLevel="0" collapsed="false">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ustomFormat="false" ht="14.25" hidden="false" customHeight="true" outlineLevel="0" collapsed="false">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ustomFormat="false" ht="14.25" hidden="false" customHeight="true" outlineLevel="0" collapsed="false">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ustomFormat="false" ht="14.25" hidden="false" customHeight="true" outlineLevel="0" collapsed="false">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ustomFormat="false" ht="14.25" hidden="false" customHeight="true" outlineLevel="0" collapsed="false">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ustomFormat="false" ht="14.25" hidden="false" customHeight="true" outlineLevel="0" collapsed="false">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ustomFormat="false" ht="14.25" hidden="false" customHeight="true" outlineLevel="0" collapsed="false">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ustomFormat="false" ht="14.25" hidden="false" customHeight="true" outlineLevel="0" collapsed="false">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ustomFormat="false" ht="14.25" hidden="false" customHeight="true" outlineLevel="0" collapsed="false">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ustomFormat="false" ht="14.25" hidden="false" customHeight="true" outlineLevel="0" collapsed="false">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ustomFormat="false" ht="14.25" hidden="false" customHeight="true" outlineLevel="0" collapsed="false">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ustomFormat="false" ht="14.25" hidden="false" customHeight="true" outlineLevel="0" collapsed="false">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ustomFormat="false" ht="14.25" hidden="false" customHeight="true" outlineLevel="0" collapsed="false">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ustomFormat="false" ht="14.25" hidden="false" customHeight="true" outlineLevel="0" collapsed="false">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ustomFormat="false" ht="14.25" hidden="false" customHeight="true" outlineLevel="0" collapsed="false">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ustomFormat="false" ht="14.25" hidden="false" customHeight="true" outlineLevel="0" collapsed="false">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ustomFormat="false" ht="14.25" hidden="false" customHeight="true" outlineLevel="0" collapsed="false">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ustomFormat="false" ht="14.25" hidden="false" customHeight="true" outlineLevel="0" collapsed="false">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ustomFormat="false" ht="14.25" hidden="false" customHeight="true" outlineLevel="0" collapsed="false">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ustomFormat="false" ht="14.25" hidden="false" customHeight="true" outlineLevel="0" collapsed="false">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ustomFormat="false" ht="14.25" hidden="false" customHeight="true" outlineLevel="0" collapsed="false">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ustomFormat="false" ht="14.25" hidden="false" customHeight="true" outlineLevel="0" collapsed="false">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ustomFormat="false" ht="14.25" hidden="false" customHeight="true" outlineLevel="0" collapsed="false">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ustomFormat="false" ht="14.25" hidden="false" customHeight="true" outlineLevel="0" collapsed="false">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ustomFormat="false" ht="14.25" hidden="false" customHeight="true" outlineLevel="0" collapsed="false">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ustomFormat="false" ht="14.25" hidden="false" customHeight="true" outlineLevel="0" collapsed="false">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customFormat="false" ht="14.25" hidden="false" customHeight="true" outlineLevel="0" collapsed="false">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customFormat="false" ht="14.25" hidden="false" customHeight="true" outlineLevel="0" collapsed="false">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customFormat="false" ht="14.25" hidden="false" customHeight="true" outlineLevel="0" collapsed="false">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customFormat="false" ht="14.25" hidden="false" customHeight="true" outlineLevel="0" collapsed="false">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customFormat="false" ht="14.25" hidden="false" customHeight="true" outlineLevel="0" collapsed="false">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customFormat="false" ht="14.25" hidden="false" customHeight="true" outlineLevel="0" collapsed="false">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customFormat="false" ht="14.25" hidden="false" customHeight="true" outlineLevel="0" collapsed="false">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customFormat="false" ht="14.25" hidden="false" customHeight="true" outlineLevel="0" collapsed="false">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customFormat="false" ht="14.25" hidden="false" customHeight="true" outlineLevel="0" collapsed="false">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customFormat="false" ht="14.25" hidden="false" customHeight="true" outlineLevel="0" collapsed="false">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customFormat="false" ht="14.25" hidden="false" customHeight="true" outlineLevel="0" collapsed="false">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customFormat="false" ht="14.25" hidden="false" customHeight="true" outlineLevel="0" collapsed="false">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customFormat="false" ht="14.25" hidden="false" customHeight="true" outlineLevel="0" collapsed="false">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customFormat="false" ht="14.25" hidden="false" customHeight="true" outlineLevel="0" collapsed="false">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customFormat="false" ht="14.25" hidden="false" customHeight="true" outlineLevel="0" collapsed="false">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customFormat="false" ht="14.25" hidden="false" customHeight="true" outlineLevel="0" collapsed="false">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customFormat="false" ht="14.25" hidden="false" customHeight="true" outlineLevel="0" collapsed="false">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row r="1001" customFormat="false" ht="14.25" hidden="false" customHeight="true" outlineLevel="0" collapsed="false">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row>
    <row r="1002" customFormat="false" ht="14.25" hidden="false" customHeight="true" outlineLevel="0" collapsed="false">
      <c r="A1002" s="91"/>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row>
    <row r="1003" customFormat="false" ht="14.25" hidden="false" customHeight="true" outlineLevel="0" collapsed="false">
      <c r="A1003" s="91"/>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row>
    <row r="1004" customFormat="false" ht="14.25" hidden="false" customHeight="true" outlineLevel="0" collapsed="false">
      <c r="A1004" s="91"/>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row>
    <row r="1005" customFormat="false" ht="14.25" hidden="false" customHeight="true" outlineLevel="0" collapsed="false">
      <c r="A1005" s="91"/>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row>
    <row r="1006" customFormat="false" ht="14.25" hidden="false" customHeight="true" outlineLevel="0" collapsed="false">
      <c r="A1006" s="91"/>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row>
    <row r="1007" customFormat="false" ht="14.25" hidden="false" customHeight="true" outlineLevel="0" collapsed="false">
      <c r="A1007" s="91"/>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row>
    <row r="1008" customFormat="false" ht="14.25" hidden="false" customHeight="true" outlineLevel="0" collapsed="false">
      <c r="A1008" s="91"/>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row>
    <row r="1009" customFormat="false" ht="14.25" hidden="false" customHeight="true" outlineLevel="0" collapsed="false">
      <c r="A1009" s="91"/>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row>
    <row r="1010" customFormat="false" ht="14.25" hidden="false" customHeight="true" outlineLevel="0" collapsed="false">
      <c r="A1010" s="91"/>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row>
  </sheetData>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&amp;R&amp;"Courier New,Regular"&amp;10 &amp;K0078d7#مقيد – عام</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6796875" defaultRowHeight="14.25" zeroHeight="false" outlineLevelRow="0" outlineLevelCol="0"/>
  <sheetData>
    <row r="2" customFormat="false" ht="14.25" hidden="false" customHeight="false" outlineLevel="0" collapsed="false">
      <c r="B2" s="93" t="s">
        <v>230</v>
      </c>
      <c r="C2" s="93"/>
      <c r="E2" s="93" t="s">
        <v>231</v>
      </c>
      <c r="F2" s="93"/>
    </row>
    <row r="3" customFormat="false" ht="14.25" hidden="false" customHeight="false" outlineLevel="0" collapsed="false">
      <c r="B3" s="0" t="s">
        <v>15</v>
      </c>
      <c r="C3" s="0" t="n">
        <f aca="false">COUNTIF('Risk register'!M:M,"Critical")</f>
        <v>9</v>
      </c>
      <c r="E3" s="0" t="s">
        <v>15</v>
      </c>
      <c r="F3" s="0" t="n">
        <f aca="false">COUNTIF('Risk register'!V:V,"Critical")</f>
        <v>1</v>
      </c>
    </row>
    <row r="4" customFormat="false" ht="14.25" hidden="false" customHeight="false" outlineLevel="0" collapsed="false">
      <c r="B4" s="0" t="s">
        <v>20</v>
      </c>
      <c r="C4" s="0" t="n">
        <f aca="false">COUNTIF('Risk register'!M:M,"High")</f>
        <v>3</v>
      </c>
      <c r="E4" s="0" t="s">
        <v>20</v>
      </c>
      <c r="F4" s="0" t="n">
        <f aca="false">COUNTIF('Risk register'!V:V,"High")</f>
        <v>0</v>
      </c>
    </row>
    <row r="5" customFormat="false" ht="14.25" hidden="false" customHeight="false" outlineLevel="0" collapsed="false">
      <c r="B5" s="0" t="s">
        <v>24</v>
      </c>
      <c r="C5" s="0" t="n">
        <f aca="false">COUNTIF('Risk register'!M:M,"Medium")</f>
        <v>1</v>
      </c>
      <c r="E5" s="0" t="s">
        <v>24</v>
      </c>
      <c r="F5" s="0" t="n">
        <f aca="false">COUNTIF('Risk register'!V:V,"Medium")</f>
        <v>8</v>
      </c>
    </row>
    <row r="6" customFormat="false" ht="14.25" hidden="false" customHeight="false" outlineLevel="0" collapsed="false">
      <c r="B6" s="0" t="s">
        <v>28</v>
      </c>
      <c r="C6" s="0" t="n">
        <f aca="false">COUNTIF('Risk register'!M:M,"Low")</f>
        <v>0</v>
      </c>
      <c r="E6" s="0" t="s">
        <v>28</v>
      </c>
      <c r="F6" s="0" t="n">
        <f aca="false">COUNTIF('Risk register'!V:V,"Low")</f>
        <v>3</v>
      </c>
    </row>
    <row r="7" customFormat="false" ht="14.25" hidden="false" customHeight="false" outlineLevel="0" collapsed="false">
      <c r="B7" s="0" t="s">
        <v>30</v>
      </c>
      <c r="C7" s="0" t="n">
        <f aca="false">COUNTIF('Risk register'!M:M,"Very Low")</f>
        <v>0</v>
      </c>
      <c r="E7" s="0" t="s">
        <v>30</v>
      </c>
      <c r="F7" s="0" t="n">
        <f aca="false">COUNTIF('Risk register'!V:V,"Very Low")</f>
        <v>1</v>
      </c>
    </row>
  </sheetData>
  <mergeCells count="2">
    <mergeCell ref="B2:C2"/>
    <mergeCell ref="E2:F2"/>
  </mergeCells>
  <printOptions headings="false" gridLines="false" gridLinesSet="true" horizontalCentered="false" verticalCentered="false"/>
  <pageMargins left="0.7" right="0.7" top="0.75" bottom="0.75"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&amp;L&amp;"Arial,Regular"&amp;10 RESTRICTED  - Third Party</oddHeader>
    <oddFooter>&amp;R&amp;"Courier New,Regular"&amp;10 &amp;K0078d7#مقيد – عام</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2023-11-11T17:00:37Z</dcterms:created>
  <dc:creator>openpyxl</dc:creator>
  <dc:description/>
  <dc:language>en-US</dc:language>
  <cp:lastModifiedBy/>
  <dcterms:modified xsi:type="dcterms:W3CDTF">2026-04-12T13:45:47Z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94e219-2117-4cf2-ac13-de3be428a23a_ActionId">
    <vt:lpwstr>6ac33c1f-0b46-48e4-962c-84f70795816b</vt:lpwstr>
  </property>
  <property fmtid="{D5CDD505-2E9C-101B-9397-08002B2CF9AE}" pid="3" name="MSIP_Label_9194e219-2117-4cf2-ac13-de3be428a23a_Application">
    <vt:lpwstr>Microsoft Azure Information Protection</vt:lpwstr>
  </property>
  <property fmtid="{D5CDD505-2E9C-101B-9397-08002B2CF9AE}" pid="4" name="MSIP_Label_9194e219-2117-4cf2-ac13-de3be428a23a_Enabled">
    <vt:lpwstr>True</vt:lpwstr>
  </property>
  <property fmtid="{D5CDD505-2E9C-101B-9397-08002B2CF9AE}" pid="5" name="MSIP_Label_9194e219-2117-4cf2-ac13-de3be428a23a_Extended_MSFT_Method">
    <vt:lpwstr>Manual</vt:lpwstr>
  </property>
  <property fmtid="{D5CDD505-2E9C-101B-9397-08002B2CF9AE}" pid="6" name="MSIP_Label_9194e219-2117-4cf2-ac13-de3be428a23a_Name">
    <vt:lpwstr>عام</vt:lpwstr>
  </property>
  <property fmtid="{D5CDD505-2E9C-101B-9397-08002B2CF9AE}" pid="7" name="MSIP_Label_9194e219-2117-4cf2-ac13-de3be428a23a_Owner">
    <vt:lpwstr>101191452@MARS.LOCAL</vt:lpwstr>
  </property>
  <property fmtid="{D5CDD505-2E9C-101B-9397-08002B2CF9AE}" pid="8" name="MSIP_Label_9194e219-2117-4cf2-ac13-de3be428a23a_SetDate">
    <vt:lpwstr>2023-11-12T08:59:59.1948053Z</vt:lpwstr>
  </property>
  <property fmtid="{D5CDD505-2E9C-101B-9397-08002B2CF9AE}" pid="9" name="MSIP_Label_9194e219-2117-4cf2-ac13-de3be428a23a_SiteId">
    <vt:lpwstr>3513f714-df76-4adb-86d2-f4a9bf2351c5</vt:lpwstr>
  </property>
  <property fmtid="{D5CDD505-2E9C-101B-9397-08002B2CF9AE}" pid="10" name="Sensitivity">
    <vt:lpwstr>عام</vt:lpwstr>
  </property>
</Properties>
</file>